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Trimestre 2024" sheetId="1" r:id="rId4"/>
    <sheet state="visible" name="2º Trimestre 2024" sheetId="2" r:id="rId5"/>
    <sheet state="visible" name="3º Trimestre 2024" sheetId="3" r:id="rId6"/>
    <sheet state="visible" name="4º Trimestre 2024" sheetId="4" r:id="rId7"/>
    <sheet state="visible" name="1º Trimestre 2025" sheetId="5" r:id="rId8"/>
    <sheet state="visible" name="2º Trimestre 2025" sheetId="6" r:id="rId9"/>
    <sheet state="visible" name="3º Trimestre 2025" sheetId="7" r:id="rId10"/>
    <sheet state="visible" name="4º Trimestre 2025" sheetId="8" r:id="rId11"/>
    <sheet state="visible" name="1º Trimestre 2026" sheetId="9" r:id="rId12"/>
    <sheet state="visible" name="2º Trimestre 2026" sheetId="10" r:id="rId13"/>
  </sheets>
  <definedNames/>
  <calcPr/>
  <extLst>
    <ext uri="GoogleSheetsCustomDataVersion2">
      <go:sheetsCustomData xmlns:go="http://customooxmlschemas.google.com/" r:id="rId14" roundtripDataChecksum="HNTG7ou5dq8bS/vkA2T1IFcOwrW5vHaXHPLsA+TvX7c="/>
    </ext>
  </extLst>
</workbook>
</file>

<file path=xl/sharedStrings.xml><?xml version="1.0" encoding="utf-8"?>
<sst xmlns="http://schemas.openxmlformats.org/spreadsheetml/2006/main" count="778" uniqueCount="62">
  <si>
    <t>Inês</t>
  </si>
  <si>
    <t>Dany</t>
  </si>
  <si>
    <t>Conta à Ordem</t>
  </si>
  <si>
    <t>Conta Poupança</t>
  </si>
  <si>
    <t>Conta Conjunta</t>
  </si>
  <si>
    <t>Certificados de Aforro</t>
  </si>
  <si>
    <t>Trade Republic (Saldo)</t>
  </si>
  <si>
    <t>PPR (não se pode levantar)</t>
  </si>
  <si>
    <t>Ações Accenture</t>
  </si>
  <si>
    <t>DEGIRO</t>
  </si>
  <si>
    <t>XTB</t>
  </si>
  <si>
    <t>Total juntos</t>
  </si>
  <si>
    <t>Total Individual</t>
  </si>
  <si>
    <t>Dinheiro total possivel casa</t>
  </si>
  <si>
    <t>Dinheiro possivel casa individual</t>
  </si>
  <si>
    <t>Ganho/Perda Casa Total Mensal</t>
  </si>
  <si>
    <t>Ganho/Perda Casa Individual Mensal</t>
  </si>
  <si>
    <t>Dinheiro investido total (não possível casa)</t>
  </si>
  <si>
    <t>Dinheiro investido individual (não possível casa)</t>
  </si>
  <si>
    <t>Legenda:</t>
  </si>
  <si>
    <t>valor de hoje</t>
  </si>
  <si>
    <t>Trade Republic</t>
  </si>
  <si>
    <t>Balanço Ganho/Perda Casa Trimestral</t>
  </si>
  <si>
    <t>valor colocado sem lucro</t>
  </si>
  <si>
    <t>Dinheiro investido sem ser para a casa</t>
  </si>
  <si>
    <t>Dinheiro possível para casa</t>
  </si>
  <si>
    <t>Dinheiro total</t>
  </si>
  <si>
    <t>29 de maio de 2024</t>
  </si>
  <si>
    <t>27 de junho 2024</t>
  </si>
  <si>
    <t>Trade Republic (Carteira)</t>
  </si>
  <si>
    <t>Saldo + Carteira</t>
  </si>
  <si>
    <t>valor colocado com lucro</t>
  </si>
  <si>
    <t>com valorização</t>
  </si>
  <si>
    <t>29 de agosto de 2024</t>
  </si>
  <si>
    <t>27 de setembro 2024</t>
  </si>
  <si>
    <t>30 de outubro 2024</t>
  </si>
  <si>
    <t>29 de Novembro 2024</t>
  </si>
  <si>
    <t>27 de dezembro 2024</t>
  </si>
  <si>
    <t>Balanço Ganho/Perda Casa Anual</t>
  </si>
  <si>
    <t>30 de janeiro 2025</t>
  </si>
  <si>
    <t>27 de fevereiro 2025</t>
  </si>
  <si>
    <t>28 de março 2025</t>
  </si>
  <si>
    <t>29 de abril 2025</t>
  </si>
  <si>
    <t>29 de maio de 2025</t>
  </si>
  <si>
    <t>27 de junho de 2025</t>
  </si>
  <si>
    <t>Trust Wallet</t>
  </si>
  <si>
    <t>soma dolares (convertido para euros) + euros</t>
  </si>
  <si>
    <t>30 de julho de 2025</t>
  </si>
  <si>
    <t>28 de agosto de 2025</t>
  </si>
  <si>
    <t>29 de setembro de 2025</t>
  </si>
  <si>
    <t>PPR Save and Grow (não se pode levantar)</t>
  </si>
  <si>
    <t>soma £ (convertido para €) + €</t>
  </si>
  <si>
    <t>30 de outubro de 2025</t>
  </si>
  <si>
    <t>27 de novembro de 2025</t>
  </si>
  <si>
    <t>30 dedezembro de 2025</t>
  </si>
  <si>
    <t>5 de Fevereiro 2026</t>
  </si>
  <si>
    <t>26 de fevereiro 2026</t>
  </si>
  <si>
    <t>26 de março 2026</t>
  </si>
  <si>
    <t>CGD Pensões</t>
  </si>
  <si>
    <t>29 de Abril 2026</t>
  </si>
  <si>
    <t>28 de Maio de 2026</t>
  </si>
  <si>
    <t>26 de Junho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</si>
</sst>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F800]dddd\,\ mmmm\ dd\,\ yyyy"/>
    <numFmt numFmtId="165" formatCode="#,##0.00\ [$€-1]"/>
    <numFmt numFmtId="166" formatCode="#,##0.00\ [$€-1];[Red]\-#,##0.00\ [$€-1]"/>
    <numFmt numFmtId="167" formatCode="#,##0\ [$€-1];[Red]\-#,##0\ [$€-1]"/>
    <numFmt numFmtId="168" formatCode="#,##0.00\ &quot;€&quot;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C8C8C8"/>
        <bgColor rgb="FFC8C8C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6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/>
      <top style="medium">
        <color rgb="FF000000"/>
      </top>
    </border>
    <border>
      <left style="thick">
        <color rgb="FF000000"/>
      </left>
      <right style="thick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2" fillId="0" fontId="2" numFmtId="0" xfId="0" applyBorder="1" applyFont="1"/>
    <xf borderId="3" fillId="3" fontId="3" numFmtId="0" xfId="0" applyBorder="1" applyFill="1" applyFont="1"/>
    <xf borderId="4" fillId="2" fontId="1" numFmtId="164" xfId="0" applyAlignment="1" applyBorder="1" applyFont="1" applyNumberFormat="1">
      <alignment horizontal="center"/>
    </xf>
    <xf borderId="5" fillId="0" fontId="2" numFmtId="0" xfId="0" applyBorder="1" applyFont="1"/>
    <xf borderId="0" fillId="0" fontId="3" numFmtId="0" xfId="0" applyAlignment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3" fontId="3" numFmtId="0" xfId="0" applyBorder="1" applyFont="1"/>
    <xf borderId="9" fillId="2" fontId="1" numFmtId="0" xfId="0" applyAlignment="1" applyBorder="1" applyFont="1">
      <alignment horizontal="center" vertical="center"/>
    </xf>
    <xf borderId="10" fillId="4" fontId="1" numFmtId="0" xfId="0" applyAlignment="1" applyBorder="1" applyFill="1" applyFont="1">
      <alignment horizontal="center"/>
    </xf>
    <xf borderId="11" fillId="0" fontId="3" numFmtId="165" xfId="0" applyAlignment="1" applyBorder="1" applyFont="1" applyNumberFormat="1">
      <alignment horizontal="center" vertical="center"/>
    </xf>
    <xf borderId="12" fillId="0" fontId="3" numFmtId="165" xfId="0" applyAlignment="1" applyBorder="1" applyFont="1" applyNumberFormat="1">
      <alignment horizontal="center" vertical="center"/>
    </xf>
    <xf borderId="11" fillId="0" fontId="3" numFmtId="166" xfId="0" applyAlignment="1" applyBorder="1" applyFont="1" applyNumberFormat="1">
      <alignment horizontal="center" vertical="center"/>
    </xf>
    <xf borderId="12" fillId="0" fontId="3" numFmtId="166" xfId="0" applyAlignment="1" applyBorder="1" applyFont="1" applyNumberFormat="1">
      <alignment horizontal="center" vertical="center"/>
    </xf>
    <xf borderId="13" fillId="4" fontId="1" numFmtId="0" xfId="0" applyAlignment="1" applyBorder="1" applyFont="1">
      <alignment horizontal="center"/>
    </xf>
    <xf borderId="14" fillId="0" fontId="3" numFmtId="165" xfId="0" applyAlignment="1" applyBorder="1" applyFont="1" applyNumberFormat="1">
      <alignment horizontal="center" vertical="center"/>
    </xf>
    <xf borderId="15" fillId="0" fontId="3" numFmtId="165" xfId="0" applyAlignment="1" applyBorder="1" applyFont="1" applyNumberFormat="1">
      <alignment horizontal="center" vertical="center"/>
    </xf>
    <xf borderId="14" fillId="0" fontId="3" numFmtId="166" xfId="0" applyAlignment="1" applyBorder="1" applyFont="1" applyNumberFormat="1">
      <alignment horizontal="center" vertical="center"/>
    </xf>
    <xf borderId="15" fillId="0" fontId="3" numFmtId="166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center"/>
    </xf>
    <xf borderId="16" fillId="0" fontId="3" numFmtId="165" xfId="0" applyAlignment="1" applyBorder="1" applyFont="1" applyNumberFormat="1">
      <alignment horizontal="center" vertical="center"/>
    </xf>
    <xf borderId="17" fillId="0" fontId="2" numFmtId="0" xfId="0" applyBorder="1" applyFont="1"/>
    <xf borderId="13" fillId="5" fontId="1" numFmtId="0" xfId="0" applyAlignment="1" applyBorder="1" applyFill="1" applyFont="1">
      <alignment horizontal="center"/>
    </xf>
    <xf borderId="16" fillId="0" fontId="3" numFmtId="166" xfId="0" applyAlignment="1" applyBorder="1" applyFont="1" applyNumberFormat="1">
      <alignment horizontal="center" vertical="center"/>
    </xf>
    <xf borderId="14" fillId="0" fontId="3" numFmtId="167" xfId="0" applyAlignment="1" applyBorder="1" applyFont="1" applyNumberFormat="1">
      <alignment horizontal="center" vertical="center"/>
    </xf>
    <xf borderId="15" fillId="0" fontId="3" numFmtId="167" xfId="0" applyAlignment="1" applyBorder="1" applyFont="1" applyNumberFormat="1">
      <alignment horizontal="center" vertical="center"/>
    </xf>
    <xf borderId="13" fillId="6" fontId="1" numFmtId="0" xfId="0" applyAlignment="1" applyBorder="1" applyFill="1" applyFont="1">
      <alignment horizontal="center"/>
    </xf>
    <xf borderId="14" fillId="7" fontId="3" numFmtId="165" xfId="0" applyAlignment="1" applyBorder="1" applyFill="1" applyFont="1" applyNumberFormat="1">
      <alignment horizontal="center" vertical="center"/>
    </xf>
    <xf borderId="14" fillId="7" fontId="3" numFmtId="0" xfId="0" applyAlignment="1" applyBorder="1" applyFont="1">
      <alignment horizontal="center" vertical="center"/>
    </xf>
    <xf borderId="18" fillId="6" fontId="1" numFmtId="0" xfId="0" applyAlignment="1" applyBorder="1" applyFont="1">
      <alignment horizontal="center"/>
    </xf>
    <xf borderId="19" fillId="7" fontId="3" numFmtId="165" xfId="0" applyAlignment="1" applyBorder="1" applyFont="1" applyNumberFormat="1">
      <alignment horizontal="center" vertical="center"/>
    </xf>
    <xf borderId="20" fillId="0" fontId="3" numFmtId="165" xfId="0" applyAlignment="1" applyBorder="1" applyFont="1" applyNumberFormat="1">
      <alignment horizontal="center" vertical="center"/>
    </xf>
    <xf borderId="19" fillId="7" fontId="3" numFmtId="0" xfId="0" applyAlignment="1" applyBorder="1" applyFont="1">
      <alignment horizontal="center" vertical="center"/>
    </xf>
    <xf borderId="20" fillId="0" fontId="3" numFmtId="166" xfId="0" applyAlignment="1" applyBorder="1" applyFont="1" applyNumberForma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3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24" fillId="3" fontId="1" numFmtId="0" xfId="0" applyAlignment="1" applyBorder="1" applyFont="1">
      <alignment horizontal="center"/>
    </xf>
    <xf borderId="24" fillId="0" fontId="3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vertical="center"/>
    </xf>
    <xf borderId="0" fillId="0" fontId="3" numFmtId="0" xfId="0" applyFont="1"/>
    <xf borderId="6" fillId="4" fontId="1" numFmtId="0" xfId="0" applyAlignment="1" applyBorder="1" applyFon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5" fillId="0" fontId="3" numFmtId="0" xfId="0" applyBorder="1" applyFont="1"/>
    <xf borderId="24" fillId="4" fontId="1" numFmtId="0" xfId="0" applyAlignment="1" applyBorder="1" applyFont="1">
      <alignment horizontal="center" vertical="center"/>
    </xf>
    <xf borderId="26" fillId="3" fontId="3" numFmtId="165" xfId="0" applyAlignment="1" applyBorder="1" applyFont="1" applyNumberFormat="1">
      <alignment horizontal="center" vertical="center"/>
    </xf>
    <xf borderId="24" fillId="3" fontId="3" numFmtId="165" xfId="0" applyAlignment="1" applyBorder="1" applyFont="1" applyNumberFormat="1">
      <alignment horizontal="center" vertical="center"/>
    </xf>
    <xf borderId="0" fillId="0" fontId="3" numFmtId="165" xfId="0" applyFont="1" applyNumberFormat="1"/>
    <xf borderId="24" fillId="6" fontId="1" numFmtId="0" xfId="0" applyAlignment="1" applyBorder="1" applyFont="1">
      <alignment horizontal="center" vertical="center"/>
    </xf>
    <xf borderId="0" fillId="0" fontId="1" numFmtId="0" xfId="0" applyFont="1"/>
    <xf borderId="10" fillId="8" fontId="1" numFmtId="0" xfId="0" applyAlignment="1" applyBorder="1" applyFill="1" applyFont="1">
      <alignment horizontal="center"/>
    </xf>
    <xf borderId="10" fillId="0" fontId="3" numFmtId="0" xfId="0" applyAlignment="1" applyBorder="1" applyFont="1">
      <alignment horizontal="center" shrinkToFit="0" vertical="center" wrapText="1"/>
    </xf>
    <xf borderId="13" fillId="8" fontId="1" numFmtId="0" xfId="0" applyAlignment="1" applyBorder="1" applyFont="1">
      <alignment horizontal="center"/>
    </xf>
    <xf borderId="13" fillId="0" fontId="3" numFmtId="0" xfId="0" applyAlignment="1" applyBorder="1" applyFont="1">
      <alignment horizontal="center" vertical="center"/>
    </xf>
    <xf borderId="18" fillId="8" fontId="1" numFmtId="0" xfId="0" applyAlignment="1" applyBorder="1" applyFont="1">
      <alignment horizontal="center"/>
    </xf>
    <xf borderId="18" fillId="0" fontId="3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4" fillId="0" fontId="3" numFmtId="168" xfId="0" applyAlignment="1" applyBorder="1" applyFont="1" applyNumberFormat="1">
      <alignment horizontal="center" vertical="center"/>
    </xf>
    <xf borderId="15" fillId="0" fontId="3" numFmtId="166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center"/>
    </xf>
    <xf borderId="6" fillId="0" fontId="3" numFmtId="165" xfId="0" applyAlignment="1" applyBorder="1" applyFont="1" applyNumberFormat="1">
      <alignment horizontal="center" vertical="center"/>
    </xf>
    <xf borderId="7" fillId="0" fontId="3" numFmtId="165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vertical="center"/>
    </xf>
    <xf borderId="28" fillId="8" fontId="1" numFmtId="0" xfId="0" applyAlignment="1" applyBorder="1" applyFont="1">
      <alignment horizontal="center"/>
    </xf>
    <xf borderId="29" fillId="0" fontId="3" numFmtId="0" xfId="0" applyAlignment="1" applyBorder="1" applyFont="1">
      <alignment horizontal="center"/>
    </xf>
    <xf borderId="11" fillId="0" fontId="3" numFmtId="166" xfId="0" applyAlignment="1" applyBorder="1" applyFont="1" applyNumberFormat="1">
      <alignment horizontal="center" readingOrder="0" vertical="center"/>
    </xf>
    <xf borderId="12" fillId="0" fontId="3" numFmtId="166" xfId="0" applyAlignment="1" applyBorder="1" applyFont="1" applyNumberFormat="1">
      <alignment horizontal="center" readingOrder="0" vertical="center"/>
    </xf>
    <xf borderId="14" fillId="0" fontId="3" numFmtId="166" xfId="0" applyAlignment="1" applyBorder="1" applyFont="1" applyNumberFormat="1">
      <alignment horizontal="center" readingOrder="0" vertical="center"/>
    </xf>
    <xf borderId="15" fillId="0" fontId="3" numFmtId="166" xfId="0" applyAlignment="1" applyBorder="1" applyFont="1" applyNumberFormat="1">
      <alignment horizontal="center" readingOrder="0" vertical="center"/>
    </xf>
    <xf borderId="16" fillId="0" fontId="3" numFmtId="166" xfId="0" applyAlignment="1" applyBorder="1" applyFont="1" applyNumberFormat="1">
      <alignment horizontal="center" readingOrder="0" vertical="center"/>
    </xf>
    <xf borderId="14" fillId="0" fontId="3" numFmtId="168" xfId="0" applyAlignment="1" applyBorder="1" applyFont="1" applyNumberFormat="1">
      <alignment horizontal="center" readingOrder="0" vertical="center"/>
    </xf>
    <xf borderId="20" fillId="0" fontId="3" numFmtId="166" xfId="0" applyAlignment="1" applyBorder="1" applyFont="1" applyNumberFormat="1">
      <alignment horizontal="center" readingOrder="0" vertical="center"/>
    </xf>
    <xf borderId="0" fillId="0" fontId="3" numFmtId="166" xfId="0" applyFont="1" applyNumberFormat="1"/>
    <xf borderId="10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28" fillId="8" fontId="1" numFmtId="0" xfId="0" applyAlignment="1" applyBorder="1" applyFont="1">
      <alignment horizontal="center" vertical="center"/>
    </xf>
    <xf borderId="18" fillId="8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 readingOrder="0"/>
    </xf>
    <xf borderId="4" fillId="2" fontId="1" numFmtId="49" xfId="0" applyAlignment="1" applyBorder="1" applyFont="1" applyNumberFormat="1">
      <alignment horizontal="center" readingOrder="0"/>
    </xf>
    <xf borderId="4" fillId="2" fontId="1" numFmtId="49" xfId="0" applyAlignment="1" applyBorder="1" applyFont="1" applyNumberFormat="1">
      <alignment horizontal="center"/>
    </xf>
    <xf borderId="11" fillId="0" fontId="3" numFmtId="165" xfId="0" applyAlignment="1" applyBorder="1" applyFont="1" applyNumberFormat="1">
      <alignment horizontal="center" readingOrder="0" vertical="center"/>
    </xf>
    <xf borderId="12" fillId="0" fontId="3" numFmtId="165" xfId="0" applyAlignment="1" applyBorder="1" applyFont="1" applyNumberFormat="1">
      <alignment horizontal="center" readingOrder="0" vertical="center"/>
    </xf>
    <xf borderId="14" fillId="0" fontId="3" numFmtId="165" xfId="0" applyAlignment="1" applyBorder="1" applyFont="1" applyNumberFormat="1">
      <alignment horizontal="center" readingOrder="0" vertical="center"/>
    </xf>
    <xf borderId="15" fillId="0" fontId="3" numFmtId="165" xfId="0" applyAlignment="1" applyBorder="1" applyFont="1" applyNumberFormat="1">
      <alignment horizontal="center" readingOrder="0" vertical="center"/>
    </xf>
    <xf borderId="16" fillId="0" fontId="3" numFmtId="165" xfId="0" applyAlignment="1" applyBorder="1" applyFont="1" applyNumberFormat="1">
      <alignment horizontal="center" readingOrder="0" vertical="center"/>
    </xf>
    <xf borderId="15" fillId="0" fontId="3" numFmtId="166" xfId="0" applyAlignment="1" applyBorder="1" applyFont="1" applyNumberFormat="1">
      <alignment horizontal="center" readingOrder="0"/>
    </xf>
    <xf borderId="20" fillId="0" fontId="3" numFmtId="165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30" fillId="6" fontId="1" numFmtId="0" xfId="0" applyAlignment="1" applyBorder="1" applyFont="1">
      <alignment horizontal="center" readingOrder="0"/>
    </xf>
    <xf borderId="31" fillId="7" fontId="3" numFmtId="165" xfId="0" applyAlignment="1" applyBorder="1" applyFont="1" applyNumberFormat="1">
      <alignment horizontal="center" vertical="center"/>
    </xf>
    <xf borderId="32" fillId="0" fontId="3" numFmtId="165" xfId="0" applyAlignment="1" applyBorder="1" applyFont="1" applyNumberFormat="1">
      <alignment horizontal="center" readingOrder="0" vertical="center"/>
    </xf>
    <xf borderId="31" fillId="7" fontId="3" numFmtId="0" xfId="0" applyAlignment="1" applyBorder="1" applyFont="1">
      <alignment horizontal="center" vertical="center"/>
    </xf>
    <xf borderId="32" fillId="0" fontId="3" numFmtId="166" xfId="0" applyAlignment="1" applyBorder="1" applyFont="1" applyNumberFormat="1">
      <alignment horizontal="center" readingOrder="0" vertical="center"/>
    </xf>
    <xf borderId="30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8" fillId="8" fontId="4" numFmtId="0" xfId="0" applyAlignment="1" applyBorder="1" applyFont="1">
      <alignment horizontal="center" readingOrder="0"/>
    </xf>
    <xf borderId="18" fillId="0" fontId="5" numFmtId="0" xfId="0" applyAlignment="1" applyBorder="1" applyFont="1">
      <alignment readingOrder="0"/>
    </xf>
    <xf borderId="13" fillId="6" fontId="1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/>
    </xf>
    <xf borderId="13" fillId="9" fontId="1" numFmtId="0" xfId="0" applyAlignment="1" applyBorder="1" applyFill="1" applyFont="1">
      <alignment horizontal="center"/>
    </xf>
    <xf borderId="33" fillId="3" fontId="3" numFmtId="0" xfId="0" applyBorder="1" applyFont="1"/>
    <xf borderId="34" fillId="2" fontId="1" numFmtId="49" xfId="0" applyAlignment="1" applyBorder="1" applyFont="1" applyNumberFormat="1">
      <alignment horizontal="center" readingOrder="0"/>
    </xf>
    <xf borderId="35" fillId="0" fontId="2" numFmtId="0" xfId="0" applyBorder="1" applyFont="1"/>
    <xf borderId="36" fillId="2" fontId="1" numFmtId="0" xfId="0" applyAlignment="1" applyBorder="1" applyFont="1">
      <alignment horizontal="center" vertical="center"/>
    </xf>
    <xf borderId="37" fillId="2" fontId="1" numFmtId="0" xfId="0" applyAlignment="1" applyBorder="1" applyFont="1">
      <alignment horizontal="center" vertical="center"/>
    </xf>
    <xf borderId="38" fillId="3" fontId="3" numFmtId="0" xfId="0" applyBorder="1" applyFont="1"/>
    <xf borderId="39" fillId="2" fontId="1" numFmtId="0" xfId="0" applyAlignment="1" applyBorder="1" applyFont="1">
      <alignment horizontal="center" vertical="center"/>
    </xf>
    <xf borderId="40" fillId="3" fontId="3" numFmtId="0" xfId="0" applyBorder="1" applyFont="1"/>
    <xf borderId="41" fillId="2" fontId="1" numFmtId="0" xfId="0" applyAlignment="1" applyBorder="1" applyFont="1">
      <alignment horizontal="center" vertical="center"/>
    </xf>
    <xf borderId="42" fillId="2" fontId="1" numFmtId="0" xfId="0" applyAlignment="1" applyBorder="1" applyFont="1">
      <alignment horizontal="center" vertical="center"/>
    </xf>
    <xf borderId="43" fillId="4" fontId="1" numFmtId="0" xfId="0" applyAlignment="1" applyBorder="1" applyFont="1">
      <alignment horizontal="center"/>
    </xf>
    <xf borderId="44" fillId="0" fontId="3" numFmtId="165" xfId="0" applyAlignment="1" applyBorder="1" applyFont="1" applyNumberFormat="1">
      <alignment horizontal="center" readingOrder="0" vertical="center"/>
    </xf>
    <xf borderId="45" fillId="0" fontId="3" numFmtId="165" xfId="0" applyAlignment="1" applyBorder="1" applyFont="1" applyNumberFormat="1">
      <alignment horizontal="center" readingOrder="0" vertical="center"/>
    </xf>
    <xf borderId="44" fillId="0" fontId="3" numFmtId="166" xfId="0" applyAlignment="1" applyBorder="1" applyFont="1" applyNumberFormat="1">
      <alignment horizontal="center" readingOrder="0" vertical="center"/>
    </xf>
    <xf borderId="46" fillId="0" fontId="3" numFmtId="166" xfId="0" applyAlignment="1" applyBorder="1" applyFont="1" applyNumberFormat="1">
      <alignment horizontal="center" readingOrder="0" vertical="center"/>
    </xf>
    <xf borderId="47" fillId="4" fontId="1" numFmtId="0" xfId="0" applyAlignment="1" applyBorder="1" applyFont="1">
      <alignment horizontal="center"/>
    </xf>
    <xf borderId="48" fillId="0" fontId="3" numFmtId="166" xfId="0" applyAlignment="1" applyBorder="1" applyFont="1" applyNumberFormat="1">
      <alignment horizontal="center" readingOrder="0" vertical="center"/>
    </xf>
    <xf borderId="49" fillId="0" fontId="3" numFmtId="166" xfId="0" applyAlignment="1" applyBorder="1" applyFont="1" applyNumberFormat="1">
      <alignment horizontal="center" readingOrder="0" vertical="center"/>
    </xf>
    <xf borderId="50" fillId="4" fontId="1" numFmtId="0" xfId="0" applyAlignment="1" applyBorder="1" applyFont="1">
      <alignment horizontal="center"/>
    </xf>
    <xf borderId="51" fillId="0" fontId="3" numFmtId="165" xfId="0" applyAlignment="1" applyBorder="1" applyFont="1" applyNumberFormat="1">
      <alignment horizontal="center" readingOrder="0" vertical="center"/>
    </xf>
    <xf borderId="52" fillId="0" fontId="3" numFmtId="165" xfId="0" applyAlignment="1" applyBorder="1" applyFont="1" applyNumberFormat="1">
      <alignment horizontal="center" readingOrder="0" vertical="center"/>
    </xf>
    <xf borderId="51" fillId="0" fontId="3" numFmtId="166" xfId="0" applyAlignment="1" applyBorder="1" applyFont="1" applyNumberFormat="1">
      <alignment horizontal="center" readingOrder="0" vertical="center"/>
    </xf>
    <xf borderId="53" fillId="0" fontId="3" numFmtId="166" xfId="0" applyAlignment="1" applyBorder="1" applyFont="1" applyNumberFormat="1">
      <alignment horizontal="center" readingOrder="0" vertical="center"/>
    </xf>
    <xf borderId="54" fillId="4" fontId="1" numFmtId="0" xfId="0" applyAlignment="1" applyBorder="1" applyFont="1">
      <alignment horizontal="center"/>
    </xf>
    <xf borderId="50" fillId="3" fontId="1" numFmtId="0" xfId="0" applyAlignment="1" applyBorder="1" applyFont="1">
      <alignment horizontal="center"/>
    </xf>
    <xf borderId="55" fillId="0" fontId="3" numFmtId="165" xfId="0" applyAlignment="1" applyBorder="1" applyFont="1" applyNumberFormat="1">
      <alignment horizontal="center" readingOrder="0" vertical="center"/>
    </xf>
    <xf borderId="54" fillId="0" fontId="2" numFmtId="0" xfId="0" applyBorder="1" applyFont="1"/>
    <xf borderId="55" fillId="0" fontId="3" numFmtId="166" xfId="0" applyAlignment="1" applyBorder="1" applyFont="1" applyNumberFormat="1">
      <alignment horizontal="center" readingOrder="0" vertical="center"/>
    </xf>
    <xf borderId="54" fillId="3" fontId="1" numFmtId="0" xfId="0" applyAlignment="1" applyBorder="1" applyFont="1">
      <alignment horizontal="center"/>
    </xf>
    <xf borderId="50" fillId="6" fontId="1" numFmtId="0" xfId="0" applyAlignment="1" applyBorder="1" applyFont="1">
      <alignment horizontal="center"/>
    </xf>
    <xf borderId="54" fillId="6" fontId="1" numFmtId="0" xfId="0" applyAlignment="1" applyBorder="1" applyFont="1">
      <alignment horizontal="center"/>
    </xf>
    <xf borderId="51" fillId="0" fontId="3" numFmtId="168" xfId="0" applyAlignment="1" applyBorder="1" applyFont="1" applyNumberFormat="1">
      <alignment horizontal="center" readingOrder="0" vertical="center"/>
    </xf>
    <xf borderId="52" fillId="0" fontId="3" numFmtId="166" xfId="0" applyAlignment="1" applyBorder="1" applyFont="1" applyNumberFormat="1">
      <alignment horizontal="center" readingOrder="0"/>
    </xf>
    <xf borderId="51" fillId="7" fontId="3" numFmtId="165" xfId="0" applyAlignment="1" applyBorder="1" applyFont="1" applyNumberFormat="1">
      <alignment horizontal="center" vertical="center"/>
    </xf>
    <xf borderId="51" fillId="7" fontId="3" numFmtId="0" xfId="0" applyAlignment="1" applyBorder="1" applyFont="1">
      <alignment horizontal="center" vertical="center"/>
    </xf>
    <xf borderId="56" fillId="6" fontId="1" numFmtId="0" xfId="0" applyAlignment="1" applyBorder="1" applyFont="1">
      <alignment horizontal="center" readingOrder="0"/>
    </xf>
    <xf borderId="57" fillId="0" fontId="3" numFmtId="165" xfId="0" applyAlignment="1" applyBorder="1" applyFont="1" applyNumberFormat="1">
      <alignment horizontal="center" readingOrder="0" vertical="center"/>
    </xf>
    <xf borderId="58" fillId="10" fontId="3" numFmtId="165" xfId="0" applyAlignment="1" applyBorder="1" applyFill="1" applyFont="1" applyNumberFormat="1">
      <alignment horizontal="center" readingOrder="0" vertical="center"/>
    </xf>
    <xf borderId="57" fillId="0" fontId="3" numFmtId="0" xfId="0" applyAlignment="1" applyBorder="1" applyFont="1">
      <alignment horizontal="center" readingOrder="0" vertical="center"/>
    </xf>
    <xf borderId="59" fillId="10" fontId="3" numFmtId="166" xfId="0" applyAlignment="1" applyBorder="1" applyFont="1" applyNumberFormat="1">
      <alignment horizontal="center" readingOrder="0" vertical="center"/>
    </xf>
    <xf borderId="60" fillId="6" fontId="1" numFmtId="0" xfId="0" applyAlignment="1" applyBorder="1" applyFont="1">
      <alignment horizontal="center" readingOrder="0"/>
    </xf>
    <xf borderId="61" fillId="0" fontId="3" numFmtId="0" xfId="0" applyBorder="1" applyFont="1"/>
    <xf borderId="53" fillId="0" fontId="3" numFmtId="16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6.57"/>
    <col customWidth="1" min="3" max="3" width="23.57"/>
    <col customWidth="1" min="4" max="4" width="22.0"/>
    <col customWidth="1" min="5" max="5" width="50.71"/>
    <col customWidth="1" min="6" max="6" width="22.29"/>
    <col customWidth="1" min="7" max="7" width="21.0"/>
    <col customWidth="1" min="8" max="8" width="46.29"/>
    <col customWidth="1" min="9" max="9" width="35.14"/>
    <col customWidth="1" min="10" max="10" width="35.0"/>
    <col customWidth="1" min="11" max="26" width="8.71"/>
  </cols>
  <sheetData>
    <row r="6">
      <c r="C6" s="1">
        <v>45321.0</v>
      </c>
      <c r="D6" s="2"/>
      <c r="E6" s="3"/>
      <c r="F6" s="4">
        <v>45350.0</v>
      </c>
      <c r="G6" s="5"/>
      <c r="H6" s="3"/>
      <c r="I6" s="4">
        <v>45377.0</v>
      </c>
      <c r="J6" s="5"/>
    </row>
    <row r="7">
      <c r="B7" s="6"/>
      <c r="C7" s="7" t="s">
        <v>0</v>
      </c>
      <c r="D7" s="8" t="s">
        <v>1</v>
      </c>
      <c r="E7" s="9"/>
      <c r="F7" s="7" t="s">
        <v>0</v>
      </c>
      <c r="G7" s="10" t="s">
        <v>1</v>
      </c>
      <c r="H7" s="9"/>
      <c r="I7" s="7" t="s">
        <v>0</v>
      </c>
      <c r="J7" s="10" t="s">
        <v>1</v>
      </c>
    </row>
    <row r="8">
      <c r="B8" s="11" t="s">
        <v>2</v>
      </c>
      <c r="C8" s="12">
        <v>947.53</v>
      </c>
      <c r="D8" s="13">
        <v>605.12</v>
      </c>
      <c r="E8" s="11" t="s">
        <v>2</v>
      </c>
      <c r="F8" s="14">
        <v>1145.67</v>
      </c>
      <c r="G8" s="15">
        <v>774.67</v>
      </c>
      <c r="H8" s="11" t="s">
        <v>2</v>
      </c>
      <c r="I8" s="14">
        <v>1041.64</v>
      </c>
      <c r="J8" s="15">
        <v>976.6</v>
      </c>
    </row>
    <row r="9">
      <c r="B9" s="16" t="s">
        <v>3</v>
      </c>
      <c r="C9" s="17">
        <v>1393.74</v>
      </c>
      <c r="D9" s="18">
        <v>1387.15</v>
      </c>
      <c r="E9" s="16" t="s">
        <v>3</v>
      </c>
      <c r="F9" s="19">
        <v>1123.14</v>
      </c>
      <c r="G9" s="20">
        <v>451.15</v>
      </c>
      <c r="H9" s="16" t="s">
        <v>3</v>
      </c>
      <c r="I9" s="19">
        <v>1803.14</v>
      </c>
      <c r="J9" s="20">
        <v>1271.15</v>
      </c>
    </row>
    <row r="10">
      <c r="B10" s="21" t="s">
        <v>4</v>
      </c>
      <c r="C10" s="22">
        <v>913.49</v>
      </c>
      <c r="D10" s="23"/>
      <c r="E10" s="24" t="s">
        <v>4</v>
      </c>
      <c r="F10" s="25">
        <v>980.9</v>
      </c>
      <c r="G10" s="23"/>
      <c r="H10" s="24" t="s">
        <v>4</v>
      </c>
      <c r="I10" s="25">
        <v>1087.69</v>
      </c>
      <c r="J10" s="23"/>
    </row>
    <row r="11">
      <c r="B11" s="16" t="s">
        <v>5</v>
      </c>
      <c r="C11" s="17">
        <v>36000.0</v>
      </c>
      <c r="D11" s="18">
        <v>4500.0</v>
      </c>
      <c r="E11" s="16" t="s">
        <v>5</v>
      </c>
      <c r="F11" s="26">
        <v>15100.0</v>
      </c>
      <c r="G11" s="27">
        <v>4500.0</v>
      </c>
      <c r="H11" s="16" t="s">
        <v>5</v>
      </c>
      <c r="I11" s="26">
        <v>15100.0</v>
      </c>
      <c r="J11" s="27">
        <v>4500.0</v>
      </c>
    </row>
    <row r="12">
      <c r="B12" s="16" t="s">
        <v>6</v>
      </c>
      <c r="C12" s="17">
        <v>3276.61</v>
      </c>
      <c r="D12" s="18">
        <v>2985.66</v>
      </c>
      <c r="E12" s="16" t="s">
        <v>6</v>
      </c>
      <c r="F12" s="19">
        <v>258.54</v>
      </c>
      <c r="G12" s="20">
        <v>64.17</v>
      </c>
      <c r="H12" s="16" t="s">
        <v>6</v>
      </c>
      <c r="I12" s="19">
        <v>234.4</v>
      </c>
      <c r="J12" s="20">
        <v>39.88</v>
      </c>
    </row>
    <row r="13" ht="21.75" customHeight="1">
      <c r="B13" s="28" t="s">
        <v>7</v>
      </c>
      <c r="C13" s="29"/>
      <c r="D13" s="18">
        <v>2200.0</v>
      </c>
      <c r="E13" s="28" t="s">
        <v>7</v>
      </c>
      <c r="F13" s="30"/>
      <c r="G13" s="27">
        <v>2200.0</v>
      </c>
      <c r="H13" s="28" t="s">
        <v>7</v>
      </c>
      <c r="I13" s="30"/>
      <c r="J13" s="27">
        <v>2200.0</v>
      </c>
    </row>
    <row r="14">
      <c r="B14" s="28" t="s">
        <v>8</v>
      </c>
      <c r="C14" s="19">
        <v>1238.77</v>
      </c>
      <c r="D14" s="20">
        <v>3407.44</v>
      </c>
      <c r="E14" s="28" t="s">
        <v>8</v>
      </c>
      <c r="F14" s="19">
        <v>1238.77</v>
      </c>
      <c r="G14" s="20">
        <v>3407.44</v>
      </c>
      <c r="H14" s="28" t="s">
        <v>8</v>
      </c>
      <c r="I14" s="19">
        <v>1238.77</v>
      </c>
      <c r="J14" s="20">
        <v>3407.44</v>
      </c>
    </row>
    <row r="15">
      <c r="B15" s="28" t="s">
        <v>9</v>
      </c>
      <c r="C15" s="29"/>
      <c r="D15" s="18">
        <v>663.34</v>
      </c>
      <c r="E15" s="28" t="s">
        <v>9</v>
      </c>
      <c r="F15" s="30"/>
      <c r="G15" s="20">
        <v>682.15</v>
      </c>
      <c r="H15" s="28" t="s">
        <v>9</v>
      </c>
      <c r="I15" s="30"/>
      <c r="J15" s="20">
        <v>702.75</v>
      </c>
    </row>
    <row r="16">
      <c r="B16" s="31" t="s">
        <v>10</v>
      </c>
      <c r="C16" s="32"/>
      <c r="D16" s="33">
        <v>142.59</v>
      </c>
      <c r="E16" s="31" t="s">
        <v>10</v>
      </c>
      <c r="F16" s="34"/>
      <c r="G16" s="35">
        <v>145.87</v>
      </c>
      <c r="H16" s="31" t="s">
        <v>10</v>
      </c>
      <c r="I16" s="34"/>
      <c r="J16" s="35">
        <v>149.3</v>
      </c>
    </row>
    <row r="17">
      <c r="D17" s="36"/>
      <c r="G17" s="37"/>
      <c r="J17" s="37"/>
    </row>
    <row r="18">
      <c r="B18" s="38" t="s">
        <v>11</v>
      </c>
      <c r="C18" s="39">
        <f>SUM(C8:D16)</f>
        <v>59661.44</v>
      </c>
      <c r="D18" s="2"/>
      <c r="E18" s="40" t="s">
        <v>11</v>
      </c>
      <c r="F18" s="39">
        <f>SUM(F8:G16)</f>
        <v>32072.47</v>
      </c>
      <c r="G18" s="2"/>
      <c r="H18" s="38" t="s">
        <v>11</v>
      </c>
      <c r="I18" s="39">
        <f>SUM(I8:J16)</f>
        <v>33752.76</v>
      </c>
      <c r="J18" s="2"/>
    </row>
    <row r="19">
      <c r="B19" s="38" t="s">
        <v>12</v>
      </c>
      <c r="C19" s="41">
        <f>SUM(C8,C9,C11,C12,C14)</f>
        <v>42856.65</v>
      </c>
      <c r="D19" s="41">
        <f>SUM(D8,D9,D11,D12,D13,D14,D15,D16)</f>
        <v>15891.3</v>
      </c>
      <c r="E19" s="40" t="s">
        <v>12</v>
      </c>
      <c r="F19" s="41">
        <f>SUM(F8,F9,F11,F12,F14)</f>
        <v>18866.12</v>
      </c>
      <c r="G19" s="41">
        <f>SUM(G8,G9,G11,G12,G13,G14,G15,G16)</f>
        <v>12225.45</v>
      </c>
      <c r="H19" s="40" t="s">
        <v>12</v>
      </c>
      <c r="I19" s="41">
        <f>SUM(I8,I9,I11,I12,I14)</f>
        <v>19417.95</v>
      </c>
      <c r="J19" s="41">
        <f>SUM(J8,J9,J11,J12,J13,J14,J15,J16)</f>
        <v>13247.12</v>
      </c>
    </row>
    <row r="20">
      <c r="B20" s="42"/>
      <c r="C20" s="43"/>
      <c r="E20" s="42"/>
      <c r="F20" s="43"/>
      <c r="H20" s="42"/>
      <c r="I20" s="43"/>
    </row>
    <row r="21" ht="15.75" customHeight="1">
      <c r="D21" s="44"/>
      <c r="G21" s="44"/>
      <c r="J21" s="44"/>
    </row>
    <row r="22" ht="15.75" customHeight="1">
      <c r="B22" s="45" t="s">
        <v>13</v>
      </c>
      <c r="C22" s="46">
        <f>SUM(C8,D8,C9,D9,C11,D11,C12,D12)</f>
        <v>51095.81</v>
      </c>
      <c r="D22" s="37"/>
      <c r="E22" s="45" t="s">
        <v>13</v>
      </c>
      <c r="F22" s="46">
        <f>SUM(F8,F9,G9,G8,F11,F12,G12,G11)</f>
        <v>23417.34</v>
      </c>
      <c r="G22" s="37"/>
      <c r="H22" s="45" t="s">
        <v>13</v>
      </c>
      <c r="I22" s="46">
        <f>SUM(I8,I9,J9,J8,I11,I12,J12,J11)</f>
        <v>24966.81</v>
      </c>
      <c r="J22" s="47"/>
    </row>
    <row r="23" ht="15.75" customHeight="1">
      <c r="B23" s="45" t="s">
        <v>14</v>
      </c>
      <c r="C23" s="41">
        <f t="shared" ref="C23:D23" si="1">SUM(C9,C8,C11,C12)</f>
        <v>41617.88</v>
      </c>
      <c r="D23" s="41">
        <f t="shared" si="1"/>
        <v>9477.93</v>
      </c>
      <c r="E23" s="45" t="s">
        <v>14</v>
      </c>
      <c r="F23" s="41">
        <f t="shared" ref="F23:G23" si="2">SUM(F9,F8,F11,F12)</f>
        <v>17627.35</v>
      </c>
      <c r="G23" s="41">
        <f t="shared" si="2"/>
        <v>5789.99</v>
      </c>
      <c r="H23" s="45" t="s">
        <v>14</v>
      </c>
      <c r="I23" s="41">
        <f t="shared" ref="I23:J23" si="3">SUM(I9,I8,I11,I12)</f>
        <v>18179.18</v>
      </c>
      <c r="J23" s="41">
        <f t="shared" si="3"/>
        <v>6787.63</v>
      </c>
    </row>
    <row r="24" ht="15.75" customHeight="1"/>
    <row r="25" ht="15.75" customHeight="1">
      <c r="B25" s="48" t="s">
        <v>15</v>
      </c>
      <c r="C25" s="49"/>
      <c r="D25" s="47"/>
      <c r="E25" s="48" t="s">
        <v>15</v>
      </c>
      <c r="F25" s="46">
        <f t="shared" ref="F25:F26" si="4">F22-C22</f>
        <v>-27678.47</v>
      </c>
      <c r="G25" s="47"/>
      <c r="H25" s="48" t="s">
        <v>15</v>
      </c>
      <c r="I25" s="46">
        <f t="shared" ref="I25:I26" si="5">I22-F22</f>
        <v>1549.47</v>
      </c>
      <c r="J25" s="47"/>
    </row>
    <row r="26" ht="15.75" customHeight="1">
      <c r="B26" s="48" t="s">
        <v>16</v>
      </c>
      <c r="C26" s="50"/>
      <c r="D26" s="50"/>
      <c r="E26" s="48" t="s">
        <v>16</v>
      </c>
      <c r="F26" s="41">
        <f t="shared" si="4"/>
        <v>-23990.53</v>
      </c>
      <c r="G26" s="41">
        <f>G23-D23</f>
        <v>-3687.94</v>
      </c>
      <c r="H26" s="48" t="s">
        <v>16</v>
      </c>
      <c r="I26" s="41">
        <f t="shared" si="5"/>
        <v>551.83</v>
      </c>
      <c r="J26" s="41">
        <f>J23-G23</f>
        <v>997.64</v>
      </c>
    </row>
    <row r="27" ht="15.75" customHeight="1">
      <c r="D27" s="51"/>
    </row>
    <row r="28" ht="15.75" customHeight="1">
      <c r="B28" s="52" t="s">
        <v>17</v>
      </c>
      <c r="C28" s="46">
        <f>C29+D29</f>
        <v>14979</v>
      </c>
      <c r="D28" s="47"/>
      <c r="E28" s="52" t="s">
        <v>17</v>
      </c>
      <c r="F28" s="46">
        <f>F29+G29</f>
        <v>15090.59</v>
      </c>
      <c r="G28" s="47"/>
      <c r="H28" s="52" t="s">
        <v>17</v>
      </c>
      <c r="I28" s="46">
        <f>I29+J29</f>
        <v>15245.44</v>
      </c>
      <c r="J28" s="47"/>
    </row>
    <row r="29" ht="15.75" customHeight="1">
      <c r="B29" s="52" t="s">
        <v>18</v>
      </c>
      <c r="C29" s="41">
        <f>C18-C22</f>
        <v>8565.63</v>
      </c>
      <c r="D29" s="41">
        <f>D19-D23</f>
        <v>6413.37</v>
      </c>
      <c r="E29" s="52" t="s">
        <v>18</v>
      </c>
      <c r="F29" s="41">
        <f>F18-F22</f>
        <v>8655.13</v>
      </c>
      <c r="G29" s="41">
        <f>G19-G23</f>
        <v>6435.46</v>
      </c>
      <c r="H29" s="52" t="s">
        <v>18</v>
      </c>
      <c r="I29" s="41">
        <f>I18-I22</f>
        <v>8785.95</v>
      </c>
      <c r="J29" s="41">
        <f>J19-J23</f>
        <v>6459.49</v>
      </c>
    </row>
    <row r="30" ht="15.75" customHeight="1">
      <c r="D30" s="51"/>
    </row>
    <row r="31" ht="15.75" customHeight="1">
      <c r="B31" s="53" t="s">
        <v>19</v>
      </c>
    </row>
    <row r="32" ht="15.75" customHeight="1"/>
    <row r="33" ht="15.75" customHeight="1">
      <c r="B33" s="54" t="s">
        <v>8</v>
      </c>
      <c r="C33" s="55" t="s">
        <v>20</v>
      </c>
    </row>
    <row r="34" ht="15.75" customHeight="1">
      <c r="B34" s="56" t="s">
        <v>21</v>
      </c>
      <c r="C34" s="57"/>
      <c r="E34" s="52" t="s">
        <v>22</v>
      </c>
      <c r="F34" s="46">
        <f t="shared" ref="F34:F35" si="6">SUM(I25,F25,C25)</f>
        <v>-26129</v>
      </c>
    </row>
    <row r="35" ht="15.75" customHeight="1">
      <c r="B35" s="58" t="s">
        <v>5</v>
      </c>
      <c r="C35" s="59" t="s">
        <v>23</v>
      </c>
      <c r="E35" s="52" t="s">
        <v>22</v>
      </c>
      <c r="F35" s="41">
        <f t="shared" si="6"/>
        <v>-23438.7</v>
      </c>
      <c r="G35" s="41">
        <f>SUM(J26,G26,D26)</f>
        <v>-2690.3</v>
      </c>
    </row>
    <row r="36" ht="15.75" customHeight="1"/>
    <row r="37" ht="15.75" customHeight="1">
      <c r="B37" s="60" t="s">
        <v>24</v>
      </c>
    </row>
    <row r="38" ht="15.75" customHeight="1">
      <c r="B38" s="16" t="s">
        <v>25</v>
      </c>
    </row>
    <row r="39" ht="15.75" customHeight="1">
      <c r="B39" s="61" t="s">
        <v>26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8:G18"/>
    <mergeCell ref="I18:J18"/>
    <mergeCell ref="C20:D20"/>
    <mergeCell ref="F20:G20"/>
    <mergeCell ref="I20:J20"/>
    <mergeCell ref="C6:D6"/>
    <mergeCell ref="F6:G6"/>
    <mergeCell ref="I6:J6"/>
    <mergeCell ref="C10:D10"/>
    <mergeCell ref="F10:G10"/>
    <mergeCell ref="I10:J10"/>
    <mergeCell ref="C18:D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43"/>
    <col customWidth="1" min="3" max="3" width="23.14"/>
    <col customWidth="1" min="4" max="4" width="25.71"/>
    <col customWidth="1" min="5" max="5" width="45.86"/>
    <col customWidth="1" min="6" max="6" width="21.43"/>
    <col customWidth="1" min="7" max="7" width="26.14"/>
    <col customWidth="1" min="8" max="8" width="44.57"/>
    <col customWidth="1" min="9" max="9" width="24.86"/>
    <col customWidth="1" min="10" max="10" width="33.57"/>
    <col customWidth="1" min="11" max="26" width="8.71"/>
  </cols>
  <sheetData>
    <row r="4">
      <c r="C4" s="1">
        <v>45407.0</v>
      </c>
      <c r="D4" s="2"/>
      <c r="E4" s="3"/>
      <c r="F4" s="4" t="s">
        <v>27</v>
      </c>
      <c r="G4" s="5"/>
      <c r="H4" s="3"/>
      <c r="I4" s="4" t="s">
        <v>28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12">
        <v>960.17</v>
      </c>
      <c r="D6" s="13">
        <v>1299.65</v>
      </c>
      <c r="E6" s="11" t="s">
        <v>2</v>
      </c>
      <c r="F6" s="14">
        <v>1417.22</v>
      </c>
      <c r="G6" s="15">
        <v>1013.86</v>
      </c>
      <c r="H6" s="11" t="s">
        <v>2</v>
      </c>
      <c r="I6" s="14">
        <v>2996.67</v>
      </c>
      <c r="J6" s="15">
        <v>1266.9</v>
      </c>
    </row>
    <row r="7">
      <c r="B7" s="16" t="s">
        <v>3</v>
      </c>
      <c r="C7" s="17">
        <v>1353.93</v>
      </c>
      <c r="D7" s="18">
        <v>1001.15</v>
      </c>
      <c r="E7" s="16" t="s">
        <v>3</v>
      </c>
      <c r="F7" s="19">
        <v>983.93</v>
      </c>
      <c r="G7" s="20">
        <v>1201.15</v>
      </c>
      <c r="H7" s="16" t="s">
        <v>3</v>
      </c>
      <c r="I7" s="19">
        <v>444.35</v>
      </c>
      <c r="J7" s="20">
        <v>2281.15</v>
      </c>
    </row>
    <row r="8">
      <c r="B8" s="21" t="s">
        <v>4</v>
      </c>
      <c r="C8" s="22">
        <v>905.72</v>
      </c>
      <c r="D8" s="23"/>
      <c r="E8" s="21" t="s">
        <v>4</v>
      </c>
      <c r="F8" s="25">
        <v>903.71</v>
      </c>
      <c r="G8" s="23"/>
      <c r="H8" s="21" t="s">
        <v>4</v>
      </c>
      <c r="I8" s="25">
        <v>923.72</v>
      </c>
      <c r="J8" s="23"/>
    </row>
    <row r="9">
      <c r="B9" s="16" t="s">
        <v>5</v>
      </c>
      <c r="C9" s="17">
        <v>15564.93</v>
      </c>
      <c r="D9" s="18">
        <v>4660.09</v>
      </c>
      <c r="E9" s="16" t="s">
        <v>5</v>
      </c>
      <c r="F9" s="19">
        <v>15676.97</v>
      </c>
      <c r="G9" s="20">
        <v>4671.22</v>
      </c>
      <c r="H9" s="16" t="s">
        <v>5</v>
      </c>
      <c r="I9" s="19">
        <v>15676.97</v>
      </c>
      <c r="J9" s="20">
        <v>4678.67</v>
      </c>
    </row>
    <row r="10">
      <c r="B10" s="28" t="s">
        <v>29</v>
      </c>
      <c r="C10" s="17">
        <v>252.49</v>
      </c>
      <c r="D10" s="18">
        <v>249.32</v>
      </c>
      <c r="E10" s="28" t="s">
        <v>29</v>
      </c>
      <c r="F10" s="19">
        <v>291.74</v>
      </c>
      <c r="G10" s="20">
        <v>289.31</v>
      </c>
      <c r="H10" s="28" t="s">
        <v>29</v>
      </c>
      <c r="I10" s="19">
        <v>549.33</v>
      </c>
      <c r="J10" s="20">
        <v>337.37</v>
      </c>
    </row>
    <row r="11">
      <c r="B11" s="16" t="s">
        <v>6</v>
      </c>
      <c r="C11" s="17">
        <v>1205.3</v>
      </c>
      <c r="D11" s="18">
        <v>1280.04</v>
      </c>
      <c r="E11" s="16" t="s">
        <v>6</v>
      </c>
      <c r="F11" s="19">
        <v>1779.01</v>
      </c>
      <c r="G11" s="20">
        <v>3893.94</v>
      </c>
      <c r="H11" s="16" t="s">
        <v>6</v>
      </c>
      <c r="I11" s="19">
        <v>3441.88</v>
      </c>
      <c r="J11" s="20">
        <v>4632.9</v>
      </c>
    </row>
    <row r="12">
      <c r="B12" s="28" t="s">
        <v>7</v>
      </c>
      <c r="C12" s="29"/>
      <c r="D12" s="18">
        <v>2200.0</v>
      </c>
      <c r="E12" s="28" t="s">
        <v>7</v>
      </c>
      <c r="F12" s="30"/>
      <c r="G12" s="20">
        <v>3017.05</v>
      </c>
      <c r="H12" s="28" t="s">
        <v>7</v>
      </c>
      <c r="I12" s="62">
        <v>1005.33</v>
      </c>
      <c r="J12" s="20">
        <v>3100.21</v>
      </c>
    </row>
    <row r="13">
      <c r="B13" s="28" t="s">
        <v>8</v>
      </c>
      <c r="C13" s="19">
        <v>1180.37</v>
      </c>
      <c r="D13" s="63">
        <v>3407.44</v>
      </c>
      <c r="E13" s="28" t="s">
        <v>8</v>
      </c>
      <c r="F13" s="19">
        <v>1926.95</v>
      </c>
      <c r="G13" s="20">
        <v>4495.43</v>
      </c>
      <c r="H13" s="28" t="s">
        <v>8</v>
      </c>
      <c r="I13" s="19">
        <v>1997.83</v>
      </c>
      <c r="J13" s="20">
        <v>4841.73</v>
      </c>
    </row>
    <row r="14">
      <c r="B14" s="28" t="s">
        <v>9</v>
      </c>
      <c r="C14" s="29"/>
      <c r="D14" s="18">
        <v>685.82</v>
      </c>
      <c r="E14" s="28" t="s">
        <v>9</v>
      </c>
      <c r="F14" s="30"/>
      <c r="G14" s="20">
        <v>704.25</v>
      </c>
      <c r="H14" s="28" t="s">
        <v>9</v>
      </c>
      <c r="I14" s="30"/>
      <c r="J14" s="20">
        <v>746.97</v>
      </c>
    </row>
    <row r="15">
      <c r="B15" s="31" t="s">
        <v>10</v>
      </c>
      <c r="C15" s="32"/>
      <c r="D15" s="33">
        <v>147.03</v>
      </c>
      <c r="E15" s="31" t="s">
        <v>10</v>
      </c>
      <c r="F15" s="34"/>
      <c r="G15" s="35">
        <v>149.74</v>
      </c>
      <c r="H15" s="31" t="s">
        <v>10</v>
      </c>
      <c r="I15" s="34"/>
      <c r="J15" s="35">
        <v>153.94</v>
      </c>
    </row>
    <row r="16">
      <c r="D16" s="36"/>
      <c r="G16" s="37"/>
      <c r="J16" s="37"/>
    </row>
    <row r="17">
      <c r="B17" s="40" t="s">
        <v>11</v>
      </c>
      <c r="C17" s="64">
        <f>SUM(C6:C7,C9:C13,C14,C15,D6:D7,D9:D15)</f>
        <v>35447.73</v>
      </c>
      <c r="D17" s="2"/>
      <c r="E17" s="40" t="s">
        <v>11</v>
      </c>
      <c r="F17" s="64">
        <f>SUM(F6:F7,F9:F13,F14,F15,G6:G7,G9:G15)</f>
        <v>41511.77</v>
      </c>
      <c r="G17" s="2"/>
      <c r="H17" s="40" t="s">
        <v>11</v>
      </c>
      <c r="I17" s="64">
        <f>SUM(I6:I7,I9:I13,I14,I15,J6:J7,J9:J15)</f>
        <v>48152.2</v>
      </c>
      <c r="J17" s="2"/>
    </row>
    <row r="18">
      <c r="B18" s="40" t="s">
        <v>12</v>
      </c>
      <c r="C18" s="65">
        <f>SUM(C6,C7,C9,C11,C13,C10)</f>
        <v>20517.19</v>
      </c>
      <c r="D18" s="66">
        <f>SUM(D6,D7,D9,D11,D12,D13,D14,D15,D10)</f>
        <v>14930.54</v>
      </c>
      <c r="E18" s="40" t="s">
        <v>12</v>
      </c>
      <c r="F18" s="65">
        <f>SUM(F6,F7,F9,F11,F13,F10)</f>
        <v>22075.82</v>
      </c>
      <c r="G18" s="66">
        <f>SUM(G6,G7,G9,G11,G12,G13,G14,G15,G10)</f>
        <v>19435.95</v>
      </c>
      <c r="H18" s="40" t="s">
        <v>12</v>
      </c>
      <c r="I18" s="65">
        <f>SUM(I6,I7,I9,I11,I13,I12,I10)</f>
        <v>26112.36</v>
      </c>
      <c r="J18" s="66">
        <f>SUM(J6,J7,J9,J11,J12,J13,J14,J15,J10)</f>
        <v>22039.84</v>
      </c>
    </row>
    <row r="19">
      <c r="B19" s="42"/>
      <c r="C19" s="43"/>
      <c r="E19" s="42"/>
      <c r="F19" s="43"/>
      <c r="H19" s="42"/>
      <c r="I19" s="43"/>
    </row>
    <row r="20">
      <c r="D20" s="44"/>
      <c r="G20" s="44"/>
      <c r="J20" s="44"/>
    </row>
    <row r="21" ht="15.75" customHeight="1">
      <c r="B21" s="45" t="s">
        <v>13</v>
      </c>
      <c r="C21" s="46">
        <f>SUM(C6,D6,C7,D7,C9,D9,C11,D11)</f>
        <v>27325.26</v>
      </c>
      <c r="D21" s="37"/>
      <c r="E21" s="45" t="s">
        <v>13</v>
      </c>
      <c r="F21" s="46">
        <f>SUM(F6,F7,G7,G6,F9,F11,G11,G9)</f>
        <v>30637.3</v>
      </c>
      <c r="G21" s="37"/>
      <c r="H21" s="45" t="s">
        <v>13</v>
      </c>
      <c r="I21" s="46">
        <f>SUM(I6,I7,J7,J6,I9,I11,J11,J9)</f>
        <v>35419.49</v>
      </c>
      <c r="J21" s="47"/>
    </row>
    <row r="22" ht="15.75" customHeight="1">
      <c r="B22" s="45" t="s">
        <v>14</v>
      </c>
      <c r="C22" s="41">
        <f t="shared" ref="C22:D22" si="1">SUM(C6,C7,C9,C11)</f>
        <v>19084.33</v>
      </c>
      <c r="D22" s="41">
        <f t="shared" si="1"/>
        <v>8240.93</v>
      </c>
      <c r="E22" s="45" t="s">
        <v>14</v>
      </c>
      <c r="F22" s="41">
        <f t="shared" ref="F22:G22" si="2">SUM(F6,F7,F9,F11)</f>
        <v>19857.13</v>
      </c>
      <c r="G22" s="41">
        <f t="shared" si="2"/>
        <v>10780.17</v>
      </c>
      <c r="H22" s="45" t="s">
        <v>14</v>
      </c>
      <c r="I22" s="41">
        <f t="shared" ref="I22:J22" si="3">SUM(I6,I7,I9,I11)</f>
        <v>22559.87</v>
      </c>
      <c r="J22" s="41">
        <f t="shared" si="3"/>
        <v>12859.62</v>
      </c>
    </row>
    <row r="23" ht="15.75" customHeight="1"/>
    <row r="24" ht="15.75" customHeight="1">
      <c r="B24" s="48" t="s">
        <v>15</v>
      </c>
      <c r="C24" s="46">
        <f>C21-'1º Trimestre 2024'!I22</f>
        <v>2358.45</v>
      </c>
      <c r="D24" s="47"/>
      <c r="E24" s="48" t="s">
        <v>15</v>
      </c>
      <c r="F24" s="46">
        <f t="shared" ref="F24:F25" si="4">F21-C21</f>
        <v>3312.04</v>
      </c>
      <c r="G24" s="47"/>
      <c r="H24" s="48" t="s">
        <v>15</v>
      </c>
      <c r="I24" s="46">
        <f t="shared" ref="I24:I25" si="5">I21-F21</f>
        <v>4782.19</v>
      </c>
      <c r="J24" s="47"/>
    </row>
    <row r="25" ht="15.75" customHeight="1">
      <c r="B25" s="48" t="s">
        <v>16</v>
      </c>
      <c r="C25" s="41">
        <f>C22-'1º Trimestre 2024'!I23</f>
        <v>905.15</v>
      </c>
      <c r="D25" s="41">
        <f>D22-'1º Trimestre 2024'!J23</f>
        <v>1453.3</v>
      </c>
      <c r="E25" s="48" t="s">
        <v>16</v>
      </c>
      <c r="F25" s="41">
        <f t="shared" si="4"/>
        <v>772.8</v>
      </c>
      <c r="G25" s="41">
        <f>G22-D22</f>
        <v>2539.24</v>
      </c>
      <c r="H25" s="48" t="s">
        <v>16</v>
      </c>
      <c r="I25" s="41">
        <f t="shared" si="5"/>
        <v>2702.74</v>
      </c>
      <c r="J25" s="41">
        <f>J22-G22</f>
        <v>2079.45</v>
      </c>
    </row>
    <row r="26" ht="15.75" customHeight="1">
      <c r="D26" s="51"/>
    </row>
    <row r="27" ht="15.75" customHeight="1">
      <c r="D27" s="51"/>
    </row>
    <row r="28" ht="15.75" customHeight="1">
      <c r="B28" s="52" t="s">
        <v>17</v>
      </c>
      <c r="C28" s="46">
        <f>C29+D29</f>
        <v>8122.47</v>
      </c>
      <c r="D28" s="47"/>
      <c r="E28" s="52" t="s">
        <v>17</v>
      </c>
      <c r="F28" s="46">
        <f>F29+G29</f>
        <v>10874.47</v>
      </c>
      <c r="G28" s="47"/>
      <c r="H28" s="52" t="s">
        <v>17</v>
      </c>
      <c r="I28" s="46">
        <f>I29+J29</f>
        <v>12732.71</v>
      </c>
      <c r="J28" s="47"/>
    </row>
    <row r="29" ht="15.75" customHeight="1">
      <c r="B29" s="52" t="s">
        <v>18</v>
      </c>
      <c r="C29" s="41">
        <f t="shared" ref="C29:D29" si="6">C18-C22</f>
        <v>1432.86</v>
      </c>
      <c r="D29" s="41">
        <f t="shared" si="6"/>
        <v>6689.61</v>
      </c>
      <c r="E29" s="52" t="s">
        <v>18</v>
      </c>
      <c r="F29" s="41">
        <f t="shared" ref="F29:G29" si="7">F18-F22</f>
        <v>2218.69</v>
      </c>
      <c r="G29" s="41">
        <f t="shared" si="7"/>
        <v>8655.78</v>
      </c>
      <c r="H29" s="52" t="s">
        <v>18</v>
      </c>
      <c r="I29" s="41">
        <f t="shared" ref="I29:J29" si="8">I18-I22</f>
        <v>3552.49</v>
      </c>
      <c r="J29" s="41">
        <f t="shared" si="8"/>
        <v>9180.22</v>
      </c>
    </row>
    <row r="30" ht="15.75" customHeight="1">
      <c r="D30" s="51"/>
    </row>
    <row r="31" ht="15.75" customHeight="1">
      <c r="B31" s="53" t="s">
        <v>19</v>
      </c>
    </row>
    <row r="32" ht="15.75" customHeight="1"/>
    <row r="33" ht="17.25" customHeight="1">
      <c r="B33" s="54" t="s">
        <v>8</v>
      </c>
      <c r="C33" s="67" t="s">
        <v>20</v>
      </c>
      <c r="E33" s="52" t="s">
        <v>22</v>
      </c>
      <c r="F33" s="46">
        <f t="shared" ref="F33:F34" si="9">SUM(I24,F24,C24)</f>
        <v>10452.68</v>
      </c>
    </row>
    <row r="34" ht="15.75" customHeight="1">
      <c r="B34" s="56" t="s">
        <v>21</v>
      </c>
      <c r="C34" s="68" t="s">
        <v>30</v>
      </c>
      <c r="E34" s="52" t="s">
        <v>22</v>
      </c>
      <c r="F34" s="41">
        <f t="shared" si="9"/>
        <v>4380.69</v>
      </c>
      <c r="G34" s="41">
        <f>SUM(J25,G25,D25)</f>
        <v>6071.99</v>
      </c>
    </row>
    <row r="35" ht="15.75" customHeight="1">
      <c r="B35" s="69" t="s">
        <v>5</v>
      </c>
      <c r="C35" s="68" t="s">
        <v>31</v>
      </c>
    </row>
    <row r="36" ht="15.75" customHeight="1">
      <c r="B36" s="58" t="s">
        <v>7</v>
      </c>
      <c r="C36" s="70" t="s">
        <v>32</v>
      </c>
    </row>
    <row r="37" ht="15.75" customHeight="1"/>
    <row r="38" ht="15.75" customHeight="1">
      <c r="B38" s="60" t="s">
        <v>24</v>
      </c>
    </row>
    <row r="39" ht="15.75" customHeight="1">
      <c r="B39" s="16" t="s">
        <v>25</v>
      </c>
    </row>
    <row r="40" ht="15.75" customHeight="1">
      <c r="B40" s="61" t="s">
        <v>26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7:G17"/>
    <mergeCell ref="I17:J17"/>
    <mergeCell ref="C19:D19"/>
    <mergeCell ref="F19:G19"/>
    <mergeCell ref="I19:J19"/>
    <mergeCell ref="C4:D4"/>
    <mergeCell ref="F4:G4"/>
    <mergeCell ref="I4:J4"/>
    <mergeCell ref="C8:D8"/>
    <mergeCell ref="F8:G8"/>
    <mergeCell ref="I8:J8"/>
    <mergeCell ref="C17:D1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57"/>
    <col customWidth="1" min="3" max="3" width="23.14"/>
    <col customWidth="1" min="4" max="4" width="22.57"/>
    <col customWidth="1" min="5" max="5" width="43.43"/>
    <col customWidth="1" min="6" max="6" width="27.43"/>
    <col customWidth="1" min="7" max="7" width="25.0"/>
    <col customWidth="1" min="8" max="8" width="47.29"/>
    <col customWidth="1" min="9" max="9" width="22.71"/>
    <col customWidth="1" min="10" max="10" width="23.29"/>
    <col customWidth="1" min="11" max="26" width="8.71"/>
  </cols>
  <sheetData>
    <row r="4">
      <c r="C4" s="1">
        <v>45498.0</v>
      </c>
      <c r="D4" s="2"/>
      <c r="E4" s="3"/>
      <c r="F4" s="4" t="s">
        <v>33</v>
      </c>
      <c r="G4" s="5"/>
      <c r="H4" s="3"/>
      <c r="I4" s="4" t="s">
        <v>34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12">
        <v>1964.35</v>
      </c>
      <c r="D6" s="13">
        <v>912.15</v>
      </c>
      <c r="E6" s="11" t="s">
        <v>2</v>
      </c>
      <c r="F6" s="14">
        <v>1303.12</v>
      </c>
      <c r="G6" s="15">
        <v>496.27</v>
      </c>
      <c r="H6" s="11" t="s">
        <v>2</v>
      </c>
      <c r="I6" s="71">
        <v>1485.3</v>
      </c>
      <c r="J6" s="72">
        <v>830.45</v>
      </c>
    </row>
    <row r="7">
      <c r="B7" s="16" t="s">
        <v>3</v>
      </c>
      <c r="C7" s="17">
        <v>1894.35</v>
      </c>
      <c r="D7" s="18">
        <v>2281.15</v>
      </c>
      <c r="E7" s="16" t="s">
        <v>3</v>
      </c>
      <c r="F7" s="19">
        <v>1494.85</v>
      </c>
      <c r="G7" s="20">
        <v>1581.15</v>
      </c>
      <c r="H7" s="16" t="s">
        <v>3</v>
      </c>
      <c r="I7" s="73">
        <v>1344.85</v>
      </c>
      <c r="J7" s="74">
        <v>1281.15</v>
      </c>
    </row>
    <row r="8">
      <c r="B8" s="21" t="s">
        <v>4</v>
      </c>
      <c r="C8" s="22">
        <v>901.8</v>
      </c>
      <c r="D8" s="23"/>
      <c r="E8" s="21" t="s">
        <v>4</v>
      </c>
      <c r="F8" s="25">
        <v>958.96</v>
      </c>
      <c r="G8" s="23"/>
      <c r="H8" s="21" t="s">
        <v>4</v>
      </c>
      <c r="I8" s="75">
        <v>1105.01</v>
      </c>
      <c r="J8" s="23"/>
    </row>
    <row r="9">
      <c r="B9" s="16" t="s">
        <v>5</v>
      </c>
      <c r="C9" s="17">
        <v>15676.97</v>
      </c>
      <c r="D9" s="18">
        <v>4693.63</v>
      </c>
      <c r="E9" s="16" t="s">
        <v>5</v>
      </c>
      <c r="F9" s="19">
        <v>15789.92</v>
      </c>
      <c r="G9" s="20">
        <v>4693.63</v>
      </c>
      <c r="H9" s="16" t="s">
        <v>5</v>
      </c>
      <c r="I9" s="19">
        <v>15789.92</v>
      </c>
      <c r="J9" s="74">
        <v>4712.36</v>
      </c>
    </row>
    <row r="10">
      <c r="B10" s="28" t="s">
        <v>29</v>
      </c>
      <c r="C10" s="17">
        <v>661.07</v>
      </c>
      <c r="D10" s="18">
        <v>364.64</v>
      </c>
      <c r="E10" s="28" t="s">
        <v>29</v>
      </c>
      <c r="F10" s="19">
        <v>939.22</v>
      </c>
      <c r="G10" s="20">
        <v>396.99</v>
      </c>
      <c r="H10" s="28" t="s">
        <v>29</v>
      </c>
      <c r="I10" s="73">
        <v>959.31</v>
      </c>
      <c r="J10" s="74">
        <v>435.56</v>
      </c>
    </row>
    <row r="11">
      <c r="B11" s="16" t="s">
        <v>6</v>
      </c>
      <c r="C11" s="17">
        <v>4327.5</v>
      </c>
      <c r="D11" s="18">
        <v>4617.25</v>
      </c>
      <c r="E11" s="16" t="s">
        <v>6</v>
      </c>
      <c r="F11" s="19">
        <v>5069.15</v>
      </c>
      <c r="G11" s="20">
        <v>4852.21</v>
      </c>
      <c r="H11" s="16" t="s">
        <v>6</v>
      </c>
      <c r="I11" s="73">
        <v>6085.53</v>
      </c>
      <c r="J11" s="74">
        <v>4837.77</v>
      </c>
    </row>
    <row r="12">
      <c r="B12" s="28" t="s">
        <v>7</v>
      </c>
      <c r="C12" s="17">
        <v>946.24</v>
      </c>
      <c r="D12" s="18">
        <v>2927.16</v>
      </c>
      <c r="E12" s="28" t="s">
        <v>7</v>
      </c>
      <c r="F12" s="62">
        <v>956.2</v>
      </c>
      <c r="G12" s="20">
        <v>3709.53</v>
      </c>
      <c r="H12" s="28" t="s">
        <v>7</v>
      </c>
      <c r="I12" s="76">
        <v>972.07</v>
      </c>
      <c r="J12" s="74">
        <v>3777.57</v>
      </c>
    </row>
    <row r="13">
      <c r="B13" s="28" t="s">
        <v>8</v>
      </c>
      <c r="C13" s="19">
        <v>2121.92</v>
      </c>
      <c r="D13" s="63">
        <v>5157.45</v>
      </c>
      <c r="E13" s="28" t="s">
        <v>8</v>
      </c>
      <c r="F13" s="19">
        <v>2138.13</v>
      </c>
      <c r="G13" s="20">
        <v>5196.71</v>
      </c>
      <c r="H13" s="28" t="s">
        <v>8</v>
      </c>
      <c r="I13" s="73">
        <v>2226.38</v>
      </c>
      <c r="J13" s="74">
        <v>5459.41</v>
      </c>
    </row>
    <row r="14">
      <c r="B14" s="28" t="s">
        <v>9</v>
      </c>
      <c r="C14" s="29"/>
      <c r="D14" s="18">
        <v>736.08</v>
      </c>
      <c r="E14" s="28" t="s">
        <v>9</v>
      </c>
      <c r="F14" s="30"/>
      <c r="G14" s="20">
        <v>737.36</v>
      </c>
      <c r="H14" s="28" t="s">
        <v>9</v>
      </c>
      <c r="I14" s="30"/>
      <c r="J14" s="74">
        <v>752.92</v>
      </c>
    </row>
    <row r="15">
      <c r="B15" s="31" t="s">
        <v>10</v>
      </c>
      <c r="C15" s="32"/>
      <c r="D15" s="33">
        <v>153.94</v>
      </c>
      <c r="E15" s="31" t="s">
        <v>10</v>
      </c>
      <c r="F15" s="34"/>
      <c r="G15" s="35">
        <v>154.69</v>
      </c>
      <c r="H15" s="31" t="s">
        <v>10</v>
      </c>
      <c r="I15" s="34"/>
      <c r="J15" s="77">
        <v>157.5</v>
      </c>
    </row>
    <row r="16">
      <c r="D16" s="36"/>
      <c r="G16" s="37"/>
      <c r="J16" s="37"/>
    </row>
    <row r="17">
      <c r="B17" s="40" t="s">
        <v>11</v>
      </c>
      <c r="C17" s="64">
        <f>SUM(C6:C7,C9:C13,C14,C15,D6:D7,D9:D15)</f>
        <v>49435.85</v>
      </c>
      <c r="D17" s="2"/>
      <c r="E17" s="40" t="s">
        <v>11</v>
      </c>
      <c r="F17" s="64">
        <f>SUM(F6:F7,F9:F13,F14,F15,G6:G7,G9:G15)</f>
        <v>49509.13</v>
      </c>
      <c r="G17" s="2"/>
      <c r="H17" s="40" t="s">
        <v>11</v>
      </c>
      <c r="I17" s="64">
        <f>SUM(I6,J6,I7,J7,I9,J9,I10,J10,I11,J11,I12,J12,I13,J13,J14,J15)</f>
        <v>51108.05</v>
      </c>
      <c r="J17" s="2"/>
    </row>
    <row r="18">
      <c r="B18" s="40" t="s">
        <v>12</v>
      </c>
      <c r="C18" s="65">
        <f>SUM(C6,C7,C9,C11,C13,C10,C12)</f>
        <v>27592.4</v>
      </c>
      <c r="D18" s="66">
        <f>SUM(D6,D7,D9,D11,D12,D13,D14,D15,D10)</f>
        <v>21843.45</v>
      </c>
      <c r="E18" s="40" t="s">
        <v>12</v>
      </c>
      <c r="F18" s="65">
        <f>SUM(F6,F7,F9,F11,F13,F10,F12)</f>
        <v>27690.59</v>
      </c>
      <c r="G18" s="66">
        <f>SUM(G6,G7,G9,G11,G12,G13,G14,G15,G10)</f>
        <v>21818.54</v>
      </c>
      <c r="H18" s="40" t="s">
        <v>12</v>
      </c>
      <c r="I18" s="65">
        <f>SUM(I6,I7,I9,I11,I13,I12,I10)</f>
        <v>28863.36</v>
      </c>
      <c r="J18" s="66">
        <f>SUM(J6,J7,J9,J11,J12,J13,J14,J15,J10)</f>
        <v>22244.69</v>
      </c>
    </row>
    <row r="19">
      <c r="B19" s="42"/>
      <c r="C19" s="43"/>
      <c r="E19" s="42"/>
      <c r="F19" s="43"/>
      <c r="H19" s="42"/>
      <c r="I19" s="43"/>
    </row>
    <row r="20">
      <c r="D20" s="44"/>
      <c r="G20" s="44"/>
      <c r="J20" s="44"/>
    </row>
    <row r="21" ht="15.75" customHeight="1">
      <c r="B21" s="45" t="s">
        <v>13</v>
      </c>
      <c r="C21" s="46">
        <f>SUM(C6,D6,C7,D7,C9,D9,C11,D11)</f>
        <v>36367.35</v>
      </c>
      <c r="D21" s="37"/>
      <c r="E21" s="45" t="s">
        <v>13</v>
      </c>
      <c r="F21" s="46">
        <f>SUM(F6,F7,G7,G6,F9,F11,G11,G9)</f>
        <v>35280.3</v>
      </c>
      <c r="G21" s="37"/>
      <c r="H21" s="45" t="s">
        <v>13</v>
      </c>
      <c r="I21" s="46">
        <f>SUM(I6,I7,J7,J6,I9,I11,J11,J9)</f>
        <v>36367.33</v>
      </c>
      <c r="J21" s="47"/>
    </row>
    <row r="22" ht="15.75" customHeight="1">
      <c r="B22" s="45" t="s">
        <v>14</v>
      </c>
      <c r="C22" s="41">
        <f t="shared" ref="C22:D22" si="1">SUM(C6,C7,C9,C11)</f>
        <v>23863.17</v>
      </c>
      <c r="D22" s="41">
        <f t="shared" si="1"/>
        <v>12504.18</v>
      </c>
      <c r="E22" s="45" t="s">
        <v>14</v>
      </c>
      <c r="F22" s="41">
        <f t="shared" ref="F22:G22" si="2">SUM(F6,F7,F9,F11)</f>
        <v>23657.04</v>
      </c>
      <c r="G22" s="41">
        <f t="shared" si="2"/>
        <v>11623.26</v>
      </c>
      <c r="H22" s="45" t="s">
        <v>14</v>
      </c>
      <c r="I22" s="41">
        <f t="shared" ref="I22:J22" si="3">SUM(I6,I7,I9,I11)</f>
        <v>24705.6</v>
      </c>
      <c r="J22" s="41">
        <f t="shared" si="3"/>
        <v>11661.73</v>
      </c>
    </row>
    <row r="23" ht="15.75" customHeight="1"/>
    <row r="24" ht="15.75" customHeight="1">
      <c r="B24" s="48" t="s">
        <v>15</v>
      </c>
      <c r="C24" s="46">
        <f>C21-'2º Trimestre 2024'!I21</f>
        <v>947.86</v>
      </c>
      <c r="D24" s="47"/>
      <c r="E24" s="48" t="s">
        <v>15</v>
      </c>
      <c r="F24" s="46">
        <f t="shared" ref="F24:F25" si="4">F21-C21</f>
        <v>-1087.05</v>
      </c>
      <c r="G24" s="47"/>
      <c r="H24" s="48" t="s">
        <v>15</v>
      </c>
      <c r="I24" s="46">
        <f t="shared" ref="I24:I25" si="5">I21-F21</f>
        <v>1087.03</v>
      </c>
      <c r="J24" s="47"/>
    </row>
    <row r="25" ht="15.75" customHeight="1">
      <c r="B25" s="48" t="s">
        <v>16</v>
      </c>
      <c r="C25" s="41">
        <f>C22-'2º Trimestre 2024'!I22</f>
        <v>1303.3</v>
      </c>
      <c r="D25" s="41">
        <f>D22-'2º Trimestre 2024'!J22</f>
        <v>-355.44</v>
      </c>
      <c r="E25" s="48" t="s">
        <v>16</v>
      </c>
      <c r="F25" s="41">
        <f t="shared" si="4"/>
        <v>-206.13</v>
      </c>
      <c r="G25" s="41">
        <f>G22-D22</f>
        <v>-880.92</v>
      </c>
      <c r="H25" s="48" t="s">
        <v>16</v>
      </c>
      <c r="I25" s="46">
        <f t="shared" si="5"/>
        <v>1048.56</v>
      </c>
      <c r="J25" s="41">
        <f>J22-G22</f>
        <v>38.47</v>
      </c>
    </row>
    <row r="26" ht="15.75" customHeight="1">
      <c r="D26" s="51"/>
    </row>
    <row r="27" ht="15.75" customHeight="1">
      <c r="D27" s="51"/>
    </row>
    <row r="28" ht="15.75" customHeight="1">
      <c r="B28" s="52" t="s">
        <v>17</v>
      </c>
      <c r="C28" s="46">
        <f>C29+D29</f>
        <v>13068.5</v>
      </c>
      <c r="D28" s="47"/>
      <c r="E28" s="52" t="s">
        <v>17</v>
      </c>
      <c r="F28" s="46">
        <f>F29+G29</f>
        <v>14228.83</v>
      </c>
      <c r="G28" s="47"/>
      <c r="H28" s="52" t="s">
        <v>17</v>
      </c>
      <c r="I28" s="46">
        <f>I29+J29</f>
        <v>14740.72</v>
      </c>
      <c r="J28" s="47"/>
    </row>
    <row r="29" ht="15.75" customHeight="1">
      <c r="B29" s="52" t="s">
        <v>18</v>
      </c>
      <c r="C29" s="41">
        <f t="shared" ref="C29:D29" si="6">C18-C22</f>
        <v>3729.23</v>
      </c>
      <c r="D29" s="41">
        <f t="shared" si="6"/>
        <v>9339.27</v>
      </c>
      <c r="E29" s="52" t="s">
        <v>18</v>
      </c>
      <c r="F29" s="41">
        <f t="shared" ref="F29:G29" si="7">F18-F22</f>
        <v>4033.55</v>
      </c>
      <c r="G29" s="41">
        <f t="shared" si="7"/>
        <v>10195.28</v>
      </c>
      <c r="H29" s="52" t="s">
        <v>18</v>
      </c>
      <c r="I29" s="41">
        <f t="shared" ref="I29:J29" si="8">I18-I22</f>
        <v>4157.76</v>
      </c>
      <c r="J29" s="41">
        <f t="shared" si="8"/>
        <v>10582.96</v>
      </c>
    </row>
    <row r="30" ht="15.75" customHeight="1">
      <c r="D30" s="51"/>
      <c r="F30" s="78"/>
    </row>
    <row r="31" ht="15.75" customHeight="1">
      <c r="B31" s="53" t="s">
        <v>19</v>
      </c>
      <c r="G31" s="51"/>
    </row>
    <row r="32" ht="15.75" customHeight="1"/>
    <row r="33" ht="18.75" customHeight="1">
      <c r="B33" s="79" t="s">
        <v>8</v>
      </c>
      <c r="C33" s="67" t="s">
        <v>20</v>
      </c>
      <c r="E33" s="52" t="s">
        <v>22</v>
      </c>
      <c r="F33" s="46">
        <f t="shared" ref="F33:F34" si="9">SUM(I24,F24,C24)</f>
        <v>947.84</v>
      </c>
    </row>
    <row r="34" ht="15.75" customHeight="1">
      <c r="B34" s="80" t="s">
        <v>21</v>
      </c>
      <c r="C34" s="68" t="s">
        <v>30</v>
      </c>
      <c r="E34" s="52" t="s">
        <v>22</v>
      </c>
      <c r="F34" s="41">
        <f t="shared" si="9"/>
        <v>2145.73</v>
      </c>
      <c r="G34" s="41">
        <f>SUM(J25,G25,D25)</f>
        <v>-1197.89</v>
      </c>
    </row>
    <row r="35" ht="15.75" customHeight="1">
      <c r="B35" s="81" t="s">
        <v>5</v>
      </c>
      <c r="C35" s="68" t="s">
        <v>31</v>
      </c>
    </row>
    <row r="36" ht="15.75" customHeight="1">
      <c r="B36" s="82" t="s">
        <v>7</v>
      </c>
      <c r="C36" s="83" t="s">
        <v>32</v>
      </c>
    </row>
    <row r="37" ht="15.75" customHeight="1"/>
    <row r="38" ht="15.75" customHeight="1">
      <c r="B38" s="60" t="s">
        <v>24</v>
      </c>
    </row>
    <row r="39" ht="15.75" customHeight="1">
      <c r="B39" s="16" t="s">
        <v>25</v>
      </c>
    </row>
    <row r="40" ht="15.75" customHeight="1">
      <c r="B40" s="61" t="s">
        <v>26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7:G17"/>
    <mergeCell ref="I17:J17"/>
    <mergeCell ref="C19:D19"/>
    <mergeCell ref="F19:G19"/>
    <mergeCell ref="I19:J19"/>
    <mergeCell ref="C4:D4"/>
    <mergeCell ref="F4:G4"/>
    <mergeCell ref="I4:J4"/>
    <mergeCell ref="C8:D8"/>
    <mergeCell ref="F8:G8"/>
    <mergeCell ref="I8:J8"/>
    <mergeCell ref="C17:D1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86"/>
    <col customWidth="1" min="3" max="3" width="31.14"/>
    <col customWidth="1" min="4" max="4" width="22.57"/>
    <col customWidth="1" min="5" max="5" width="44.86"/>
    <col customWidth="1" min="6" max="6" width="27.43"/>
    <col customWidth="1" min="7" max="7" width="25.0"/>
    <col customWidth="1" min="8" max="8" width="48.71"/>
    <col customWidth="1" min="9" max="9" width="22.71"/>
    <col customWidth="1" min="10" max="10" width="30.14"/>
    <col customWidth="1" min="11" max="26" width="8.71"/>
  </cols>
  <sheetData>
    <row r="4">
      <c r="C4" s="84" t="s">
        <v>35</v>
      </c>
      <c r="D4" s="2"/>
      <c r="E4" s="3"/>
      <c r="F4" s="85" t="s">
        <v>36</v>
      </c>
      <c r="G4" s="5"/>
      <c r="H4" s="3"/>
      <c r="I4" s="86" t="s">
        <v>37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87">
        <v>1138.28</v>
      </c>
      <c r="D6" s="88">
        <v>694.45</v>
      </c>
      <c r="E6" s="11" t="s">
        <v>2</v>
      </c>
      <c r="F6" s="71">
        <v>2893.74</v>
      </c>
      <c r="G6" s="72">
        <v>1214.85</v>
      </c>
      <c r="H6" s="11" t="s">
        <v>2</v>
      </c>
      <c r="I6" s="71">
        <v>2211.25</v>
      </c>
      <c r="J6" s="72">
        <v>697.23</v>
      </c>
    </row>
    <row r="7">
      <c r="B7" s="16" t="s">
        <v>3</v>
      </c>
      <c r="C7" s="89">
        <v>1000.66</v>
      </c>
      <c r="D7" s="90">
        <v>736.69</v>
      </c>
      <c r="E7" s="16" t="s">
        <v>3</v>
      </c>
      <c r="F7" s="73">
        <v>456.56</v>
      </c>
      <c r="G7" s="74">
        <v>1000.69</v>
      </c>
      <c r="H7" s="16" t="s">
        <v>3</v>
      </c>
      <c r="I7" s="73">
        <v>1356.88</v>
      </c>
      <c r="J7" s="74">
        <v>400.69</v>
      </c>
    </row>
    <row r="8">
      <c r="B8" s="21" t="s">
        <v>4</v>
      </c>
      <c r="C8" s="91">
        <v>903.52</v>
      </c>
      <c r="D8" s="23"/>
      <c r="E8" s="16" t="s">
        <v>4</v>
      </c>
      <c r="F8" s="75">
        <v>1006.05</v>
      </c>
      <c r="G8" s="23"/>
      <c r="H8" s="21" t="s">
        <v>4</v>
      </c>
      <c r="I8" s="75">
        <v>1036.11</v>
      </c>
      <c r="J8" s="23"/>
    </row>
    <row r="9">
      <c r="B9" s="16" t="s">
        <v>5</v>
      </c>
      <c r="C9" s="89">
        <v>15789.92</v>
      </c>
      <c r="D9" s="90">
        <v>4727.44</v>
      </c>
      <c r="E9" s="16" t="s">
        <v>5</v>
      </c>
      <c r="F9" s="73">
        <v>15903.62</v>
      </c>
      <c r="G9" s="74">
        <v>4727.44</v>
      </c>
      <c r="H9" s="16" t="s">
        <v>5</v>
      </c>
      <c r="I9" s="73">
        <v>15903.62</v>
      </c>
      <c r="J9" s="74">
        <v>4746.29</v>
      </c>
    </row>
    <row r="10">
      <c r="B10" s="28" t="s">
        <v>29</v>
      </c>
      <c r="C10" s="89">
        <v>1087.31</v>
      </c>
      <c r="D10" s="90">
        <v>481.55</v>
      </c>
      <c r="E10" s="28" t="s">
        <v>29</v>
      </c>
      <c r="F10" s="73">
        <v>1132.52</v>
      </c>
      <c r="G10" s="74">
        <v>534.6</v>
      </c>
      <c r="H10" s="28" t="s">
        <v>29</v>
      </c>
      <c r="I10" s="73">
        <v>1145.34</v>
      </c>
      <c r="J10" s="74">
        <v>580.66</v>
      </c>
    </row>
    <row r="11">
      <c r="B11" s="16" t="s">
        <v>6</v>
      </c>
      <c r="C11" s="89">
        <v>6905.69</v>
      </c>
      <c r="D11" s="90">
        <v>4822.38</v>
      </c>
      <c r="E11" s="16" t="s">
        <v>6</v>
      </c>
      <c r="F11" s="73">
        <v>7425.79</v>
      </c>
      <c r="G11" s="74">
        <v>4806.47</v>
      </c>
      <c r="H11" s="16" t="s">
        <v>6</v>
      </c>
      <c r="I11" s="73">
        <v>100.45</v>
      </c>
      <c r="J11" s="74">
        <v>284.33</v>
      </c>
    </row>
    <row r="12">
      <c r="B12" s="28" t="s">
        <v>7</v>
      </c>
      <c r="C12" s="89">
        <v>1008.54</v>
      </c>
      <c r="D12" s="90">
        <v>3912.57</v>
      </c>
      <c r="E12" s="28" t="s">
        <v>7</v>
      </c>
      <c r="F12" s="76">
        <v>1048.62</v>
      </c>
      <c r="G12" s="74">
        <v>4293.6</v>
      </c>
      <c r="H12" s="28" t="s">
        <v>7</v>
      </c>
      <c r="I12" s="76">
        <v>1075.77</v>
      </c>
      <c r="J12" s="74">
        <v>4439.08</v>
      </c>
    </row>
    <row r="13">
      <c r="B13" s="28" t="s">
        <v>8</v>
      </c>
      <c r="C13" s="73">
        <v>2369.27</v>
      </c>
      <c r="D13" s="92">
        <v>5758.16</v>
      </c>
      <c r="E13" s="28" t="s">
        <v>8</v>
      </c>
      <c r="F13" s="73">
        <v>3450.31</v>
      </c>
      <c r="G13" s="74">
        <v>7600.59</v>
      </c>
      <c r="H13" s="28" t="s">
        <v>8</v>
      </c>
      <c r="I13" s="73">
        <v>3485.71</v>
      </c>
      <c r="J13" s="74">
        <v>7996.9</v>
      </c>
    </row>
    <row r="14">
      <c r="B14" s="28" t="s">
        <v>9</v>
      </c>
      <c r="C14" s="29"/>
      <c r="D14" s="90">
        <v>784.1</v>
      </c>
      <c r="E14" s="28" t="s">
        <v>9</v>
      </c>
      <c r="F14" s="30"/>
      <c r="G14" s="74">
        <v>827.73</v>
      </c>
      <c r="H14" s="28" t="s">
        <v>9</v>
      </c>
      <c r="I14" s="30"/>
      <c r="J14" s="74">
        <v>841.76</v>
      </c>
    </row>
    <row r="15">
      <c r="B15" s="31" t="s">
        <v>10</v>
      </c>
      <c r="C15" s="32"/>
      <c r="D15" s="93">
        <v>160.53</v>
      </c>
      <c r="E15" s="31" t="s">
        <v>10</v>
      </c>
      <c r="F15" s="34"/>
      <c r="G15" s="77">
        <v>165.89</v>
      </c>
      <c r="H15" s="31" t="s">
        <v>10</v>
      </c>
      <c r="I15" s="34"/>
      <c r="J15" s="77">
        <v>167.17</v>
      </c>
    </row>
    <row r="16">
      <c r="D16" s="36"/>
      <c r="G16" s="37"/>
      <c r="J16" s="37"/>
    </row>
    <row r="17">
      <c r="B17" s="40" t="s">
        <v>11</v>
      </c>
      <c r="C17" s="64">
        <f>SUM(C6:C7,C9:C13,C14,C15,D6:D7,D9:D15)</f>
        <v>51377.54</v>
      </c>
      <c r="D17" s="2"/>
      <c r="E17" s="40" t="s">
        <v>11</v>
      </c>
      <c r="F17" s="64">
        <f>SUM(F6:F7,F9:F13,F14,F15,G6:G7,G9:G15)</f>
        <v>57483.02</v>
      </c>
      <c r="G17" s="2"/>
      <c r="H17" s="40" t="s">
        <v>11</v>
      </c>
      <c r="I17" s="64">
        <f>SUM(I6:I7,I9:I13,I14,I15,J6:J7,J9:J15)</f>
        <v>45433.13</v>
      </c>
      <c r="J17" s="2"/>
    </row>
    <row r="18">
      <c r="B18" s="40" t="s">
        <v>12</v>
      </c>
      <c r="C18" s="65">
        <f>SUM(C6,C7,C9,C11,C13,C10,C12)</f>
        <v>29299.67</v>
      </c>
      <c r="D18" s="66">
        <f>SUM(D6,D7,D9,D11,D12,D13,D14,D15,D10)</f>
        <v>22077.87</v>
      </c>
      <c r="E18" s="40" t="s">
        <v>12</v>
      </c>
      <c r="F18" s="65">
        <f>SUM(F6,F7,F9,F11,F13,F10,F12)</f>
        <v>32311.16</v>
      </c>
      <c r="G18" s="66">
        <f>SUM(G6,G7,G9,G11,G12,G13,G14,G15,G10)</f>
        <v>25171.86</v>
      </c>
      <c r="H18" s="40" t="s">
        <v>12</v>
      </c>
      <c r="I18" s="65">
        <f>SUM(I6,I7,I9,I11,I13,I12,I10)</f>
        <v>25279.02</v>
      </c>
      <c r="J18" s="66">
        <f>SUM(J6,J7,J9,J11,J12,J13,J14,J15,J10)</f>
        <v>20154.11</v>
      </c>
    </row>
    <row r="19">
      <c r="B19" s="42"/>
      <c r="C19" s="43"/>
      <c r="E19" s="42"/>
      <c r="F19" s="43"/>
      <c r="H19" s="42"/>
      <c r="I19" s="43"/>
    </row>
    <row r="20">
      <c r="D20" s="44"/>
      <c r="G20" s="44"/>
      <c r="J20" s="44"/>
    </row>
    <row r="21" ht="15.75" customHeight="1">
      <c r="B21" s="45" t="s">
        <v>13</v>
      </c>
      <c r="C21" s="46">
        <f>SUM(C6,D6,C7,D7,C9,D9,C11,D11)</f>
        <v>35815.51</v>
      </c>
      <c r="D21" s="37"/>
      <c r="E21" s="45" t="s">
        <v>13</v>
      </c>
      <c r="F21" s="46">
        <f>SUM(F6,F7,G7,G6,F9,F11,G11,G9)</f>
        <v>38429.16</v>
      </c>
      <c r="G21" s="37"/>
      <c r="H21" s="45" t="s">
        <v>13</v>
      </c>
      <c r="I21" s="46">
        <f>SUM(I6,I7,J7,J6,I9,I11,J11,J9)</f>
        <v>25700.74</v>
      </c>
      <c r="J21" s="47"/>
    </row>
    <row r="22" ht="15.75" customHeight="1">
      <c r="B22" s="45" t="s">
        <v>14</v>
      </c>
      <c r="C22" s="41">
        <f t="shared" ref="C22:D22" si="1">SUM(C6,C7,C9,C11)</f>
        <v>24834.55</v>
      </c>
      <c r="D22" s="41">
        <f t="shared" si="1"/>
        <v>10980.96</v>
      </c>
      <c r="E22" s="45" t="s">
        <v>14</v>
      </c>
      <c r="F22" s="41">
        <f t="shared" ref="F22:G22" si="2">SUM(F6,F7,F9,F11)</f>
        <v>26679.71</v>
      </c>
      <c r="G22" s="41">
        <f t="shared" si="2"/>
        <v>11749.45</v>
      </c>
      <c r="H22" s="45" t="s">
        <v>14</v>
      </c>
      <c r="I22" s="41">
        <f t="shared" ref="I22:J22" si="3">SUM(I6,I7,I9,I11)</f>
        <v>19572.2</v>
      </c>
      <c r="J22" s="41">
        <f t="shared" si="3"/>
        <v>6128.54</v>
      </c>
    </row>
    <row r="23" ht="15.75" customHeight="1"/>
    <row r="24" ht="15.75" customHeight="1">
      <c r="B24" s="48" t="s">
        <v>15</v>
      </c>
      <c r="C24" s="46">
        <f>C21-'3º Trimestre 2024'!I21</f>
        <v>-551.82</v>
      </c>
      <c r="D24" s="47"/>
      <c r="E24" s="48" t="s">
        <v>15</v>
      </c>
      <c r="F24" s="46">
        <f t="shared" ref="F24:F25" si="4">F21-C21</f>
        <v>2613.65</v>
      </c>
      <c r="G24" s="47"/>
      <c r="H24" s="48" t="s">
        <v>15</v>
      </c>
      <c r="I24" s="46">
        <f t="shared" ref="I24:I25" si="5">I21-F21</f>
        <v>-12728.42</v>
      </c>
      <c r="J24" s="47"/>
    </row>
    <row r="25" ht="15.75" customHeight="1">
      <c r="B25" s="48" t="s">
        <v>16</v>
      </c>
      <c r="C25" s="41">
        <f>C22-'3º Trimestre 2024'!I22</f>
        <v>128.95</v>
      </c>
      <c r="D25" s="41">
        <f>D22-'3º Trimestre 2024'!J22</f>
        <v>-680.77</v>
      </c>
      <c r="E25" s="48" t="s">
        <v>16</v>
      </c>
      <c r="F25" s="41">
        <f t="shared" si="4"/>
        <v>1845.16</v>
      </c>
      <c r="G25" s="41">
        <f>G22-D22</f>
        <v>768.49</v>
      </c>
      <c r="H25" s="48" t="s">
        <v>16</v>
      </c>
      <c r="I25" s="41">
        <f t="shared" si="5"/>
        <v>-7107.51</v>
      </c>
      <c r="J25" s="41">
        <f>J22-G22</f>
        <v>-5620.91</v>
      </c>
    </row>
    <row r="26" ht="15.75" customHeight="1">
      <c r="D26" s="51"/>
    </row>
    <row r="27" ht="15.75" customHeight="1">
      <c r="D27" s="51"/>
    </row>
    <row r="28" ht="15.75" customHeight="1">
      <c r="B28" s="52" t="s">
        <v>17</v>
      </c>
      <c r="C28" s="46">
        <f>C29+D29</f>
        <v>15562.03</v>
      </c>
      <c r="D28" s="47"/>
      <c r="E28" s="52" t="s">
        <v>17</v>
      </c>
      <c r="F28" s="46">
        <f>F29+G29</f>
        <v>19053.86</v>
      </c>
      <c r="G28" s="47"/>
      <c r="H28" s="52" t="s">
        <v>17</v>
      </c>
      <c r="I28" s="46">
        <f>I29+J29</f>
        <v>19732.39</v>
      </c>
      <c r="J28" s="47"/>
    </row>
    <row r="29" ht="15.75" customHeight="1">
      <c r="B29" s="52" t="s">
        <v>18</v>
      </c>
      <c r="C29" s="41">
        <f t="shared" ref="C29:D29" si="6">C18-C22</f>
        <v>4465.12</v>
      </c>
      <c r="D29" s="41">
        <f t="shared" si="6"/>
        <v>11096.91</v>
      </c>
      <c r="E29" s="52" t="s">
        <v>18</v>
      </c>
      <c r="F29" s="41">
        <f t="shared" ref="F29:G29" si="7">F18-F22</f>
        <v>5631.45</v>
      </c>
      <c r="G29" s="41">
        <f t="shared" si="7"/>
        <v>13422.41</v>
      </c>
      <c r="H29" s="52" t="s">
        <v>18</v>
      </c>
      <c r="I29" s="41">
        <f t="shared" ref="I29:J29" si="8">I18-I22</f>
        <v>5706.82</v>
      </c>
      <c r="J29" s="41">
        <f t="shared" si="8"/>
        <v>14025.57</v>
      </c>
    </row>
    <row r="30" ht="15.75" customHeight="1">
      <c r="D30" s="51"/>
    </row>
    <row r="31" ht="15.75" customHeight="1">
      <c r="B31" s="53" t="s">
        <v>19</v>
      </c>
    </row>
    <row r="32" ht="15.75" customHeight="1"/>
    <row r="33" ht="15.75" customHeight="1">
      <c r="B33" s="79" t="s">
        <v>8</v>
      </c>
      <c r="C33" s="67" t="s">
        <v>20</v>
      </c>
      <c r="E33" s="52" t="s">
        <v>22</v>
      </c>
      <c r="F33" s="46">
        <f t="shared" ref="F33:F34" si="9">SUM(I24,F24,C24)</f>
        <v>-10666.59</v>
      </c>
    </row>
    <row r="34" ht="15.75" customHeight="1">
      <c r="B34" s="80" t="s">
        <v>21</v>
      </c>
      <c r="C34" s="68" t="s">
        <v>30</v>
      </c>
      <c r="E34" s="52" t="s">
        <v>22</v>
      </c>
      <c r="F34" s="41">
        <f t="shared" si="9"/>
        <v>-5133.4</v>
      </c>
      <c r="G34" s="41">
        <f>SUM(J25,G25,D25)</f>
        <v>-5533.19</v>
      </c>
    </row>
    <row r="35" ht="15.75" customHeight="1">
      <c r="B35" s="81" t="s">
        <v>5</v>
      </c>
      <c r="C35" s="68" t="s">
        <v>31</v>
      </c>
    </row>
    <row r="36" ht="15.75" customHeight="1">
      <c r="B36" s="82" t="s">
        <v>7</v>
      </c>
      <c r="C36" s="83" t="s">
        <v>32</v>
      </c>
    </row>
    <row r="37" ht="15.75" customHeight="1">
      <c r="H37" s="52" t="s">
        <v>38</v>
      </c>
      <c r="I37" s="46">
        <f>SUM('4º Trimestre 2024'!F33,'3º Trimestre 2024'!F33,'2º Trimestre 2024'!F33,'1º Trimestre 2024'!F34)</f>
        <v>-25395.07</v>
      </c>
    </row>
    <row r="38" ht="15.75" customHeight="1">
      <c r="B38" s="60" t="s">
        <v>24</v>
      </c>
      <c r="H38" s="52" t="s">
        <v>38</v>
      </c>
      <c r="I38" s="41">
        <f>SUM(F34,'3º Trimestre 2024'!F34,'2º Trimestre 2024'!F34,'1º Trimestre 2024'!F35)</f>
        <v>-22045.68</v>
      </c>
      <c r="J38" s="41">
        <f>SUM(G34,'3º Trimestre 2024'!G34,'2º Trimestre 2024'!G34,'1º Trimestre 2024'!G35)</f>
        <v>-3349.39</v>
      </c>
    </row>
    <row r="39" ht="15.75" customHeight="1">
      <c r="B39" s="16" t="s">
        <v>25</v>
      </c>
    </row>
    <row r="40" ht="15.75" customHeight="1">
      <c r="B40" s="61" t="s">
        <v>26</v>
      </c>
    </row>
    <row r="41" ht="15.75" customHeight="1">
      <c r="B41" s="94"/>
    </row>
    <row r="42" ht="15.75" customHeight="1">
      <c r="B42" s="94"/>
    </row>
    <row r="43" ht="15.75" customHeight="1">
      <c r="B43" s="9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7:G17"/>
    <mergeCell ref="I17:J17"/>
    <mergeCell ref="C19:D19"/>
    <mergeCell ref="F19:G19"/>
    <mergeCell ref="I19:J19"/>
    <mergeCell ref="C4:D4"/>
    <mergeCell ref="F4:G4"/>
    <mergeCell ref="I4:J4"/>
    <mergeCell ref="C8:D8"/>
    <mergeCell ref="F8:G8"/>
    <mergeCell ref="I8:J8"/>
    <mergeCell ref="C17:D1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32.0"/>
    <col customWidth="1" min="4" max="4" width="28.0"/>
    <col customWidth="1" min="5" max="5" width="43.0"/>
    <col customWidth="1" min="6" max="6" width="23.71"/>
    <col customWidth="1" min="7" max="7" width="26.0"/>
    <col customWidth="1" min="8" max="8" width="44.57"/>
    <col customWidth="1" min="9" max="9" width="29.29"/>
    <col customWidth="1" min="10" max="10" width="30.14"/>
  </cols>
  <sheetData>
    <row r="4">
      <c r="C4" s="84" t="s">
        <v>39</v>
      </c>
      <c r="D4" s="2"/>
      <c r="E4" s="3"/>
      <c r="F4" s="85" t="s">
        <v>40</v>
      </c>
      <c r="G4" s="5"/>
      <c r="H4" s="3"/>
      <c r="I4" s="85" t="s">
        <v>41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87">
        <v>2031.64</v>
      </c>
      <c r="D6" s="88">
        <v>500.93</v>
      </c>
      <c r="E6" s="11" t="s">
        <v>2</v>
      </c>
      <c r="F6" s="71">
        <v>1378.37</v>
      </c>
      <c r="G6" s="72">
        <v>623.83</v>
      </c>
      <c r="H6" s="11" t="s">
        <v>2</v>
      </c>
      <c r="I6" s="71">
        <v>638.6</v>
      </c>
      <c r="J6" s="72">
        <v>790.56</v>
      </c>
    </row>
    <row r="7">
      <c r="B7" s="16" t="s">
        <v>3</v>
      </c>
      <c r="C7" s="89">
        <v>1056.88</v>
      </c>
      <c r="D7" s="90">
        <v>890.69</v>
      </c>
      <c r="E7" s="16" t="s">
        <v>3</v>
      </c>
      <c r="F7" s="73">
        <v>1001.3</v>
      </c>
      <c r="G7" s="74">
        <v>990.69</v>
      </c>
      <c r="H7" s="16" t="s">
        <v>3</v>
      </c>
      <c r="I7" s="73">
        <v>721.0</v>
      </c>
      <c r="J7" s="74">
        <v>679.97</v>
      </c>
    </row>
    <row r="8">
      <c r="B8" s="21" t="s">
        <v>4</v>
      </c>
      <c r="C8" s="91">
        <v>939.16</v>
      </c>
      <c r="D8" s="23"/>
      <c r="E8" s="16" t="s">
        <v>4</v>
      </c>
      <c r="F8" s="75">
        <v>1022.27</v>
      </c>
      <c r="G8" s="23"/>
      <c r="H8" s="21" t="s">
        <v>4</v>
      </c>
      <c r="I8" s="75">
        <v>1010.85</v>
      </c>
      <c r="J8" s="23"/>
    </row>
    <row r="9">
      <c r="B9" s="16" t="s">
        <v>5</v>
      </c>
      <c r="C9" s="73">
        <v>15903.62</v>
      </c>
      <c r="D9" s="90">
        <v>4761.47</v>
      </c>
      <c r="E9" s="16" t="s">
        <v>5</v>
      </c>
      <c r="F9" s="73">
        <v>16018.08</v>
      </c>
      <c r="G9" s="74">
        <v>4761.47</v>
      </c>
      <c r="H9" s="16" t="s">
        <v>5</v>
      </c>
      <c r="I9" s="73">
        <v>16018.08</v>
      </c>
      <c r="J9" s="74">
        <v>4780.46</v>
      </c>
    </row>
    <row r="10">
      <c r="B10" s="28" t="s">
        <v>29</v>
      </c>
      <c r="C10" s="89">
        <v>1274.86</v>
      </c>
      <c r="D10" s="90">
        <v>681.92</v>
      </c>
      <c r="E10" s="28" t="s">
        <v>29</v>
      </c>
      <c r="F10" s="73">
        <v>1396.78</v>
      </c>
      <c r="G10" s="74">
        <v>801.07</v>
      </c>
      <c r="H10" s="28" t="s">
        <v>29</v>
      </c>
      <c r="I10" s="73">
        <v>1490.74</v>
      </c>
      <c r="J10" s="74">
        <v>853.67</v>
      </c>
    </row>
    <row r="11">
      <c r="B11" s="16" t="s">
        <v>6</v>
      </c>
      <c r="C11" s="89">
        <v>991.5</v>
      </c>
      <c r="D11" s="90">
        <v>1186.91</v>
      </c>
      <c r="E11" s="16" t="s">
        <v>6</v>
      </c>
      <c r="F11" s="73">
        <v>2256.35</v>
      </c>
      <c r="G11" s="74">
        <v>1469.89</v>
      </c>
      <c r="H11" s="16" t="s">
        <v>6</v>
      </c>
      <c r="I11" s="73">
        <v>2456.86</v>
      </c>
      <c r="J11" s="74">
        <v>2612.95</v>
      </c>
    </row>
    <row r="12">
      <c r="B12" s="28" t="s">
        <v>7</v>
      </c>
      <c r="C12" s="89">
        <v>1103.43</v>
      </c>
      <c r="D12" s="90">
        <v>4553.24</v>
      </c>
      <c r="E12" s="28" t="s">
        <v>7</v>
      </c>
      <c r="F12" s="76">
        <v>1330.01</v>
      </c>
      <c r="G12" s="74">
        <v>4715.76</v>
      </c>
      <c r="H12" s="28" t="s">
        <v>7</v>
      </c>
      <c r="I12" s="76">
        <v>1232.63</v>
      </c>
      <c r="J12" s="74">
        <v>4373.51</v>
      </c>
    </row>
    <row r="13">
      <c r="B13" s="28" t="s">
        <v>8</v>
      </c>
      <c r="C13" s="73">
        <v>3617.95</v>
      </c>
      <c r="D13" s="92">
        <v>7969.56</v>
      </c>
      <c r="E13" s="28" t="s">
        <v>8</v>
      </c>
      <c r="F13" s="73">
        <v>3440.95</v>
      </c>
      <c r="G13" s="74">
        <v>7580.07</v>
      </c>
      <c r="H13" s="28" t="s">
        <v>8</v>
      </c>
      <c r="I13" s="73">
        <v>2866.99</v>
      </c>
      <c r="J13" s="74">
        <v>6318.29</v>
      </c>
    </row>
    <row r="14">
      <c r="B14" s="28" t="s">
        <v>9</v>
      </c>
      <c r="C14" s="29"/>
      <c r="D14" s="90">
        <v>848.96</v>
      </c>
      <c r="E14" s="28" t="s">
        <v>9</v>
      </c>
      <c r="F14" s="30"/>
      <c r="G14" s="74">
        <v>832.34</v>
      </c>
      <c r="H14" s="28" t="s">
        <v>9</v>
      </c>
      <c r="I14" s="30"/>
      <c r="J14" s="74">
        <v>756.63</v>
      </c>
    </row>
    <row r="15">
      <c r="B15" s="31" t="s">
        <v>10</v>
      </c>
      <c r="C15" s="32"/>
      <c r="D15" s="93">
        <v>169.77</v>
      </c>
      <c r="E15" s="31" t="s">
        <v>10</v>
      </c>
      <c r="F15" s="34"/>
      <c r="G15" s="77">
        <v>173.31</v>
      </c>
      <c r="H15" s="31" t="s">
        <v>10</v>
      </c>
      <c r="I15" s="34"/>
      <c r="J15" s="77">
        <v>161.85</v>
      </c>
    </row>
    <row r="16">
      <c r="D16" s="36"/>
      <c r="G16" s="37"/>
      <c r="J16" s="37"/>
    </row>
    <row r="17">
      <c r="B17" s="40" t="s">
        <v>11</v>
      </c>
      <c r="C17" s="64">
        <f>SUM(C6:C7,C9:C13,C14,C15,D6:D7,D9:D15)</f>
        <v>47543.33</v>
      </c>
      <c r="D17" s="2"/>
      <c r="E17" s="40" t="s">
        <v>11</v>
      </c>
      <c r="F17" s="64">
        <f>SUM(F6:F7,F9:F13,F14,F15,G6:G7,G9:G15)</f>
        <v>48770.27</v>
      </c>
      <c r="G17" s="2"/>
      <c r="H17" s="40" t="s">
        <v>11</v>
      </c>
      <c r="I17" s="64">
        <f>SUM(I6:I7,I9:I13,I14,I15,J6:J7,J9:J15)</f>
        <v>46752.79</v>
      </c>
      <c r="J17" s="2"/>
    </row>
    <row r="18">
      <c r="B18" s="40" t="s">
        <v>12</v>
      </c>
      <c r="C18" s="65">
        <f>SUM(C6,C7,C9,C11,C13,C10,C12)</f>
        <v>25979.88</v>
      </c>
      <c r="D18" s="66">
        <f>SUM(D6,D7,D9,D11,D12,D13,D14,D15,D10)</f>
        <v>21563.45</v>
      </c>
      <c r="E18" s="40" t="s">
        <v>12</v>
      </c>
      <c r="F18" s="65">
        <f>SUM(F6,F7,F9,F11,F13,F10,F12)</f>
        <v>26821.84</v>
      </c>
      <c r="G18" s="66">
        <f>SUM(G6,G7,G9,G11,G12,G13,G14,G15,G10)</f>
        <v>21948.43</v>
      </c>
      <c r="H18" s="40" t="s">
        <v>12</v>
      </c>
      <c r="I18" s="65">
        <f>SUM(I6,I7,I9,I11,I13,I12,I10)</f>
        <v>25424.9</v>
      </c>
      <c r="J18" s="66">
        <f>SUM(J6,J7,J9,J11,J12,J13,J14,J15,J10)</f>
        <v>21327.89</v>
      </c>
    </row>
    <row r="19">
      <c r="B19" s="42"/>
      <c r="C19" s="43"/>
      <c r="E19" s="42"/>
      <c r="F19" s="43"/>
      <c r="H19" s="42"/>
      <c r="I19" s="43"/>
    </row>
    <row r="20">
      <c r="D20" s="44"/>
      <c r="G20" s="44"/>
      <c r="J20" s="44"/>
    </row>
    <row r="21">
      <c r="B21" s="45" t="s">
        <v>13</v>
      </c>
      <c r="C21" s="46">
        <f>SUM(C6,D6,C7,D7,C9,D9,C11,D11)</f>
        <v>27323.64</v>
      </c>
      <c r="D21" s="37"/>
      <c r="E21" s="45" t="s">
        <v>13</v>
      </c>
      <c r="F21" s="46">
        <f>SUM(F6,F7,G7,G6,F9,F11,G11,G9)</f>
        <v>28499.98</v>
      </c>
      <c r="G21" s="37"/>
      <c r="H21" s="45" t="s">
        <v>13</v>
      </c>
      <c r="I21" s="46">
        <f>SUM(I6,I7,J7,J6,I9,I11,J11,J9)</f>
        <v>28698.48</v>
      </c>
      <c r="J21" s="47"/>
    </row>
    <row r="22">
      <c r="B22" s="45" t="s">
        <v>14</v>
      </c>
      <c r="C22" s="41">
        <f t="shared" ref="C22:D22" si="1">SUM(C6,C7,C9,C11)</f>
        <v>19983.64</v>
      </c>
      <c r="D22" s="41">
        <f t="shared" si="1"/>
        <v>7340</v>
      </c>
      <c r="E22" s="45" t="s">
        <v>14</v>
      </c>
      <c r="F22" s="41">
        <f t="shared" ref="F22:G22" si="2">SUM(F6,F7,F9,F11)</f>
        <v>20654.1</v>
      </c>
      <c r="G22" s="41">
        <f t="shared" si="2"/>
        <v>7845.88</v>
      </c>
      <c r="H22" s="45" t="s">
        <v>14</v>
      </c>
      <c r="I22" s="41">
        <f t="shared" ref="I22:J22" si="3">SUM(I6,I7,I9,I11)</f>
        <v>19834.54</v>
      </c>
      <c r="J22" s="41">
        <f t="shared" si="3"/>
        <v>8863.94</v>
      </c>
    </row>
    <row r="24">
      <c r="B24" s="48" t="s">
        <v>15</v>
      </c>
      <c r="C24" s="46">
        <f>C21-'4º Trimestre 2024'!I21</f>
        <v>1622.9</v>
      </c>
      <c r="D24" s="47"/>
      <c r="E24" s="48" t="s">
        <v>15</v>
      </c>
      <c r="F24" s="46">
        <f t="shared" ref="F24:F25" si="4">F21-C21</f>
        <v>1176.34</v>
      </c>
      <c r="G24" s="47"/>
      <c r="H24" s="48" t="s">
        <v>15</v>
      </c>
      <c r="I24" s="46">
        <f t="shared" ref="I24:I25" si="5">I21-F21</f>
        <v>198.5</v>
      </c>
      <c r="J24" s="47"/>
    </row>
    <row r="25">
      <c r="B25" s="48" t="s">
        <v>16</v>
      </c>
      <c r="C25" s="41">
        <f>C22-'4º Trimestre 2024'!I22</f>
        <v>411.44</v>
      </c>
      <c r="D25" s="41">
        <f>D22-'4º Trimestre 2024'!J22</f>
        <v>1211.46</v>
      </c>
      <c r="E25" s="48" t="s">
        <v>16</v>
      </c>
      <c r="F25" s="41">
        <f t="shared" si="4"/>
        <v>670.46</v>
      </c>
      <c r="G25" s="41">
        <f>G22-D22</f>
        <v>505.88</v>
      </c>
      <c r="H25" s="48" t="s">
        <v>16</v>
      </c>
      <c r="I25" s="41">
        <f t="shared" si="5"/>
        <v>-819.56</v>
      </c>
      <c r="J25" s="41">
        <f>J22-G22</f>
        <v>1018.06</v>
      </c>
    </row>
    <row r="26">
      <c r="D26" s="51"/>
    </row>
    <row r="27">
      <c r="D27" s="51"/>
    </row>
    <row r="28">
      <c r="B28" s="52" t="s">
        <v>17</v>
      </c>
      <c r="C28" s="46">
        <f>C29+D29</f>
        <v>20219.69</v>
      </c>
      <c r="D28" s="47"/>
      <c r="E28" s="52" t="s">
        <v>17</v>
      </c>
      <c r="F28" s="46">
        <f>F29+G29</f>
        <v>20270.29</v>
      </c>
      <c r="G28" s="47"/>
      <c r="H28" s="52" t="s">
        <v>17</v>
      </c>
      <c r="I28" s="46">
        <f>I29+J29</f>
        <v>18054.31</v>
      </c>
      <c r="J28" s="47"/>
    </row>
    <row r="29">
      <c r="B29" s="52" t="s">
        <v>18</v>
      </c>
      <c r="C29" s="41">
        <f t="shared" ref="C29:D29" si="6">C18-C22</f>
        <v>5996.24</v>
      </c>
      <c r="D29" s="41">
        <f t="shared" si="6"/>
        <v>14223.45</v>
      </c>
      <c r="E29" s="52" t="s">
        <v>18</v>
      </c>
      <c r="F29" s="41">
        <f t="shared" ref="F29:G29" si="7">F18-F22</f>
        <v>6167.74</v>
      </c>
      <c r="G29" s="41">
        <f t="shared" si="7"/>
        <v>14102.55</v>
      </c>
      <c r="H29" s="52" t="s">
        <v>18</v>
      </c>
      <c r="I29" s="41">
        <f t="shared" ref="I29:J29" si="8">I18-I22</f>
        <v>5590.36</v>
      </c>
      <c r="J29" s="41">
        <f t="shared" si="8"/>
        <v>12463.95</v>
      </c>
    </row>
    <row r="30">
      <c r="D30" s="51"/>
    </row>
    <row r="31">
      <c r="B31" s="53" t="s">
        <v>19</v>
      </c>
    </row>
    <row r="33">
      <c r="B33" s="79" t="s">
        <v>8</v>
      </c>
      <c r="C33" s="67" t="s">
        <v>20</v>
      </c>
      <c r="E33" s="52" t="s">
        <v>22</v>
      </c>
      <c r="F33" s="46">
        <f t="shared" ref="F33:F34" si="9">SUM(I24,F24,C24)</f>
        <v>2997.74</v>
      </c>
    </row>
    <row r="34">
      <c r="B34" s="80" t="s">
        <v>21</v>
      </c>
      <c r="C34" s="68" t="s">
        <v>30</v>
      </c>
      <c r="E34" s="52" t="s">
        <v>22</v>
      </c>
      <c r="F34" s="41">
        <f t="shared" si="9"/>
        <v>262.34</v>
      </c>
      <c r="G34" s="41">
        <f>SUM(J25,G25,D25)</f>
        <v>2735.4</v>
      </c>
    </row>
    <row r="35">
      <c r="B35" s="81" t="s">
        <v>5</v>
      </c>
      <c r="C35" s="68" t="s">
        <v>31</v>
      </c>
    </row>
    <row r="36">
      <c r="B36" s="82" t="s">
        <v>7</v>
      </c>
      <c r="C36" s="83" t="s">
        <v>32</v>
      </c>
    </row>
  </sheetData>
  <mergeCells count="12">
    <mergeCell ref="F17:G17"/>
    <mergeCell ref="I17:J17"/>
    <mergeCell ref="C19:D19"/>
    <mergeCell ref="F19:G19"/>
    <mergeCell ref="I19:J19"/>
    <mergeCell ref="C4:D4"/>
    <mergeCell ref="F4:G4"/>
    <mergeCell ref="I4:J4"/>
    <mergeCell ref="C8:D8"/>
    <mergeCell ref="F8:G8"/>
    <mergeCell ref="I8:J8"/>
    <mergeCell ref="C17:D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39.71"/>
    <col customWidth="1" min="4" max="4" width="28.0"/>
    <col customWidth="1" min="5" max="5" width="43.0"/>
    <col customWidth="1" min="6" max="6" width="23.71"/>
    <col customWidth="1" min="7" max="7" width="26.0"/>
    <col customWidth="1" min="8" max="8" width="44.57"/>
    <col customWidth="1" min="9" max="9" width="29.29"/>
    <col customWidth="1" min="10" max="10" width="30.14"/>
  </cols>
  <sheetData>
    <row r="4">
      <c r="C4" s="84" t="s">
        <v>42</v>
      </c>
      <c r="D4" s="2"/>
      <c r="E4" s="3"/>
      <c r="F4" s="85" t="s">
        <v>43</v>
      </c>
      <c r="G4" s="5"/>
      <c r="H4" s="3"/>
      <c r="I4" s="85" t="s">
        <v>44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87">
        <v>1062.35</v>
      </c>
      <c r="D6" s="88">
        <v>558.92</v>
      </c>
      <c r="E6" s="11" t="s">
        <v>2</v>
      </c>
      <c r="F6" s="71">
        <v>3166.19</v>
      </c>
      <c r="G6" s="72">
        <v>2483.02</v>
      </c>
      <c r="H6" s="11" t="s">
        <v>2</v>
      </c>
      <c r="I6" s="71">
        <v>2772.85</v>
      </c>
      <c r="J6" s="72">
        <v>613.37</v>
      </c>
    </row>
    <row r="7">
      <c r="B7" s="16" t="s">
        <v>3</v>
      </c>
      <c r="C7" s="89">
        <v>1.3</v>
      </c>
      <c r="D7" s="90">
        <v>429.97</v>
      </c>
      <c r="E7" s="16" t="s">
        <v>3</v>
      </c>
      <c r="F7" s="73">
        <v>651.3</v>
      </c>
      <c r="G7" s="74">
        <v>1025.0</v>
      </c>
      <c r="H7" s="16" t="s">
        <v>3</v>
      </c>
      <c r="I7" s="73">
        <v>401.47</v>
      </c>
      <c r="J7" s="74">
        <v>1050.87</v>
      </c>
    </row>
    <row r="8">
      <c r="B8" s="21" t="s">
        <v>4</v>
      </c>
      <c r="C8" s="91">
        <v>922.78</v>
      </c>
      <c r="D8" s="23"/>
      <c r="E8" s="16" t="s">
        <v>4</v>
      </c>
      <c r="F8" s="75">
        <v>1052.11</v>
      </c>
      <c r="G8" s="23"/>
      <c r="H8" s="21" t="s">
        <v>4</v>
      </c>
      <c r="I8" s="75">
        <v>1008.84</v>
      </c>
      <c r="J8" s="23"/>
    </row>
    <row r="9">
      <c r="B9" s="16" t="s">
        <v>5</v>
      </c>
      <c r="C9" s="73">
        <v>16018.08</v>
      </c>
      <c r="D9" s="90">
        <v>4795.76</v>
      </c>
      <c r="E9" s="16" t="s">
        <v>5</v>
      </c>
      <c r="F9" s="73">
        <v>16133.44</v>
      </c>
      <c r="G9" s="74">
        <v>4795.76</v>
      </c>
      <c r="H9" s="16" t="s">
        <v>5</v>
      </c>
      <c r="I9" s="73">
        <v>16133.44</v>
      </c>
      <c r="J9" s="74">
        <v>4814.89</v>
      </c>
    </row>
    <row r="10">
      <c r="B10" s="28" t="s">
        <v>29</v>
      </c>
      <c r="C10" s="89">
        <v>1921.27</v>
      </c>
      <c r="D10" s="90">
        <v>2117.29</v>
      </c>
      <c r="E10" s="28" t="s">
        <v>29</v>
      </c>
      <c r="F10" s="73">
        <v>2306.6</v>
      </c>
      <c r="G10" s="74">
        <v>2428.67</v>
      </c>
      <c r="H10" s="28" t="s">
        <v>29</v>
      </c>
      <c r="I10" s="73">
        <v>2486.58</v>
      </c>
      <c r="J10" s="74">
        <v>2537.72</v>
      </c>
    </row>
    <row r="11">
      <c r="B11" s="16" t="s">
        <v>6</v>
      </c>
      <c r="C11" s="89">
        <v>1921.48</v>
      </c>
      <c r="D11" s="90">
        <v>1315.2</v>
      </c>
      <c r="E11" s="16" t="s">
        <v>6</v>
      </c>
      <c r="F11" s="73">
        <v>1982.45</v>
      </c>
      <c r="G11" s="74">
        <v>6448.13</v>
      </c>
      <c r="H11" s="16" t="s">
        <v>6</v>
      </c>
      <c r="I11" s="73">
        <v>11262.26</v>
      </c>
      <c r="J11" s="74">
        <v>6917.1</v>
      </c>
    </row>
    <row r="12">
      <c r="B12" s="28" t="s">
        <v>7</v>
      </c>
      <c r="C12" s="89">
        <v>1137.36</v>
      </c>
      <c r="D12" s="90">
        <v>4032.68</v>
      </c>
      <c r="E12" s="28" t="s">
        <v>7</v>
      </c>
      <c r="F12" s="76">
        <v>1228.34</v>
      </c>
      <c r="G12" s="74">
        <v>4851.08</v>
      </c>
      <c r="H12" s="28" t="s">
        <v>7</v>
      </c>
      <c r="I12" s="76">
        <v>1198.77</v>
      </c>
      <c r="J12" s="74">
        <v>5223.66</v>
      </c>
    </row>
    <row r="13">
      <c r="B13" s="28" t="s">
        <v>8</v>
      </c>
      <c r="C13" s="73">
        <v>2637.38</v>
      </c>
      <c r="D13" s="92">
        <v>5750.13</v>
      </c>
      <c r="E13" s="28" t="s">
        <v>8</v>
      </c>
      <c r="F13" s="73">
        <v>3677.03</v>
      </c>
      <c r="G13" s="74">
        <v>7930.99</v>
      </c>
      <c r="H13" s="28" t="s">
        <v>8</v>
      </c>
      <c r="I13" s="73">
        <v>3328.46</v>
      </c>
      <c r="J13" s="74">
        <v>7080.53</v>
      </c>
    </row>
    <row r="14">
      <c r="B14" s="28" t="s">
        <v>9</v>
      </c>
      <c r="C14" s="29"/>
      <c r="D14" s="90">
        <v>708.24</v>
      </c>
      <c r="E14" s="28" t="s">
        <v>9</v>
      </c>
      <c r="F14" s="30"/>
      <c r="G14" s="74">
        <v>767.46</v>
      </c>
      <c r="H14" s="28" t="s">
        <v>9</v>
      </c>
      <c r="I14" s="30"/>
      <c r="J14" s="74">
        <v>770.61</v>
      </c>
    </row>
    <row r="15">
      <c r="B15" s="95" t="s">
        <v>45</v>
      </c>
      <c r="C15" s="96"/>
      <c r="D15" s="97">
        <v>231.18</v>
      </c>
      <c r="E15" s="95" t="s">
        <v>45</v>
      </c>
      <c r="F15" s="98"/>
      <c r="G15" s="99">
        <v>247.62</v>
      </c>
      <c r="H15" s="95" t="s">
        <v>45</v>
      </c>
      <c r="I15" s="98"/>
      <c r="J15" s="99">
        <v>306.91</v>
      </c>
    </row>
    <row r="16">
      <c r="B16" s="31" t="s">
        <v>10</v>
      </c>
      <c r="C16" s="32"/>
      <c r="D16" s="93">
        <v>149.66</v>
      </c>
      <c r="E16" s="31" t="s">
        <v>10</v>
      </c>
      <c r="F16" s="34"/>
      <c r="G16" s="77">
        <v>158.92</v>
      </c>
      <c r="H16" s="31" t="s">
        <v>10</v>
      </c>
      <c r="I16" s="34"/>
      <c r="J16" s="77">
        <v>834.02</v>
      </c>
    </row>
    <row r="17">
      <c r="D17" s="36"/>
      <c r="G17" s="37"/>
      <c r="J17" s="37"/>
    </row>
    <row r="18">
      <c r="B18" s="40" t="s">
        <v>11</v>
      </c>
      <c r="C18" s="64">
        <f>SUM(C6:C7,C9:C13,C14,C16,D6:D7,D9:D16)</f>
        <v>44788.25</v>
      </c>
      <c r="D18" s="2"/>
      <c r="E18" s="40" t="s">
        <v>11</v>
      </c>
      <c r="F18" s="64">
        <f>SUM(F6:F7,F9:F13,F14,F16,G6:G7,G9:G16)</f>
        <v>60282</v>
      </c>
      <c r="G18" s="2"/>
      <c r="H18" s="40" t="s">
        <v>11</v>
      </c>
      <c r="I18" s="64">
        <f>SUM(I6:I7,I9:I13,I14,I16,J6:J7,J9:J16)</f>
        <v>67733.51</v>
      </c>
      <c r="J18" s="2"/>
    </row>
    <row r="19">
      <c r="B19" s="40" t="s">
        <v>12</v>
      </c>
      <c r="C19" s="65">
        <f>SUM(C6,C7,C9,C11,C13,C10,C12)</f>
        <v>24699.22</v>
      </c>
      <c r="D19" s="66">
        <f>SUM(D6,D7,D9,D11,D12,D13,D14,D16,D10,D15)</f>
        <v>20089.03</v>
      </c>
      <c r="E19" s="40" t="s">
        <v>12</v>
      </c>
      <c r="F19" s="65">
        <f>SUM(F6,F7,F9,F11,F13,F10,F12)</f>
        <v>29145.35</v>
      </c>
      <c r="G19" s="66">
        <f>SUM(G6,G7,G9,G11,G12,G13,G14,G16,G10,G15)</f>
        <v>31136.65</v>
      </c>
      <c r="H19" s="40" t="s">
        <v>12</v>
      </c>
      <c r="I19" s="65">
        <f>SUM(I6,I7,I9,I11,I13,I12,I10)</f>
        <v>37583.83</v>
      </c>
      <c r="J19" s="66">
        <f>SUM(J6,J7,J9,J11,J12,J13,J14,J16,J10,J15)</f>
        <v>30149.68</v>
      </c>
    </row>
    <row r="20">
      <c r="B20" s="42"/>
      <c r="C20" s="43"/>
      <c r="E20" s="42"/>
      <c r="F20" s="43"/>
      <c r="H20" s="42"/>
      <c r="I20" s="43"/>
    </row>
    <row r="21">
      <c r="D21" s="44"/>
      <c r="G21" s="44"/>
      <c r="J21" s="44"/>
    </row>
    <row r="22">
      <c r="B22" s="45" t="s">
        <v>13</v>
      </c>
      <c r="C22" s="46">
        <f>SUM(C6,D6,C7,D7,C9,D9,C11,D11)</f>
        <v>26103.06</v>
      </c>
      <c r="D22" s="37"/>
      <c r="E22" s="45" t="s">
        <v>13</v>
      </c>
      <c r="F22" s="46">
        <f>SUM(F6,F7,G7,G6,F9,F11,G11,G9)</f>
        <v>36685.29</v>
      </c>
      <c r="G22" s="37"/>
      <c r="H22" s="45" t="s">
        <v>13</v>
      </c>
      <c r="I22" s="46">
        <f>SUM(I6,I7,J7,J6,I9,I11,J11,J9)</f>
        <v>43966.25</v>
      </c>
      <c r="J22" s="47"/>
    </row>
    <row r="23">
      <c r="B23" s="45" t="s">
        <v>14</v>
      </c>
      <c r="C23" s="41">
        <f t="shared" ref="C23:D23" si="1">SUM(C6,C7,C9,C11)</f>
        <v>19003.21</v>
      </c>
      <c r="D23" s="41">
        <f t="shared" si="1"/>
        <v>7099.85</v>
      </c>
      <c r="E23" s="45" t="s">
        <v>14</v>
      </c>
      <c r="F23" s="41">
        <f t="shared" ref="F23:G23" si="2">SUM(F6,F7,F9,F11)</f>
        <v>21933.38</v>
      </c>
      <c r="G23" s="41">
        <f t="shared" si="2"/>
        <v>14751.91</v>
      </c>
      <c r="H23" s="45" t="s">
        <v>14</v>
      </c>
      <c r="I23" s="41">
        <f t="shared" ref="I23:J23" si="3">SUM(I6,I7,I9,I11)</f>
        <v>30570.02</v>
      </c>
      <c r="J23" s="41">
        <f t="shared" si="3"/>
        <v>13396.23</v>
      </c>
    </row>
    <row r="25">
      <c r="B25" s="48" t="s">
        <v>15</v>
      </c>
      <c r="C25" s="46">
        <f>C22-'1º Trimestre 2025'!I21</f>
        <v>-2595.42</v>
      </c>
      <c r="D25" s="47"/>
      <c r="E25" s="48" t="s">
        <v>15</v>
      </c>
      <c r="F25" s="46">
        <f t="shared" ref="F25:F26" si="4">F22-C22</f>
        <v>10582.23</v>
      </c>
      <c r="G25" s="47"/>
      <c r="H25" s="48" t="s">
        <v>15</v>
      </c>
      <c r="I25" s="46">
        <f t="shared" ref="I25:I26" si="5">I22-F22</f>
        <v>7280.96</v>
      </c>
      <c r="J25" s="47"/>
    </row>
    <row r="26">
      <c r="B26" s="48" t="s">
        <v>16</v>
      </c>
      <c r="C26" s="41">
        <f>C23-'1º Trimestre 2025'!I22</f>
        <v>-831.33</v>
      </c>
      <c r="D26" s="41">
        <f>D23-'1º Trimestre 2025'!J22</f>
        <v>-1764.09</v>
      </c>
      <c r="E26" s="48" t="s">
        <v>16</v>
      </c>
      <c r="F26" s="41">
        <f t="shared" si="4"/>
        <v>2930.17</v>
      </c>
      <c r="G26" s="41">
        <f>G23-D23</f>
        <v>7652.06</v>
      </c>
      <c r="H26" s="48" t="s">
        <v>16</v>
      </c>
      <c r="I26" s="41">
        <f t="shared" si="5"/>
        <v>8636.64</v>
      </c>
      <c r="J26" s="41">
        <f>J23-G23</f>
        <v>-1355.68</v>
      </c>
    </row>
    <row r="27">
      <c r="D27" s="51"/>
    </row>
    <row r="28">
      <c r="D28" s="51"/>
    </row>
    <row r="29">
      <c r="B29" s="52" t="s">
        <v>17</v>
      </c>
      <c r="C29" s="46">
        <f>C30+D30</f>
        <v>18685.19</v>
      </c>
      <c r="D29" s="47"/>
      <c r="E29" s="52" t="s">
        <v>17</v>
      </c>
      <c r="F29" s="46">
        <f>F30+G30</f>
        <v>23596.71</v>
      </c>
      <c r="G29" s="47"/>
      <c r="H29" s="52" t="s">
        <v>17</v>
      </c>
      <c r="I29" s="46">
        <f>I30+J30</f>
        <v>23767.26</v>
      </c>
      <c r="J29" s="47"/>
    </row>
    <row r="30">
      <c r="B30" s="52" t="s">
        <v>18</v>
      </c>
      <c r="C30" s="41">
        <f t="shared" ref="C30:D30" si="6">C19-C23</f>
        <v>5696.01</v>
      </c>
      <c r="D30" s="41">
        <f t="shared" si="6"/>
        <v>12989.18</v>
      </c>
      <c r="E30" s="52" t="s">
        <v>18</v>
      </c>
      <c r="F30" s="41">
        <f t="shared" ref="F30:G30" si="7">F19-F23</f>
        <v>7211.97</v>
      </c>
      <c r="G30" s="41">
        <f t="shared" si="7"/>
        <v>16384.74</v>
      </c>
      <c r="H30" s="52" t="s">
        <v>18</v>
      </c>
      <c r="I30" s="41">
        <f t="shared" ref="I30:J30" si="8">I19-I23</f>
        <v>7013.81</v>
      </c>
      <c r="J30" s="41">
        <f t="shared" si="8"/>
        <v>16753.45</v>
      </c>
    </row>
    <row r="31">
      <c r="D31" s="51"/>
    </row>
    <row r="32">
      <c r="B32" s="53" t="s">
        <v>19</v>
      </c>
    </row>
    <row r="34">
      <c r="B34" s="79" t="s">
        <v>8</v>
      </c>
      <c r="C34" s="55" t="s">
        <v>20</v>
      </c>
      <c r="E34" s="52" t="s">
        <v>22</v>
      </c>
      <c r="F34" s="46">
        <f t="shared" ref="F34:F35" si="9">SUM(I25,F25,C25)</f>
        <v>15267.77</v>
      </c>
    </row>
    <row r="35">
      <c r="B35" s="80" t="s">
        <v>21</v>
      </c>
      <c r="C35" s="57" t="s">
        <v>30</v>
      </c>
      <c r="E35" s="52" t="s">
        <v>22</v>
      </c>
      <c r="F35" s="41">
        <f t="shared" si="9"/>
        <v>10735.48</v>
      </c>
      <c r="G35" s="41">
        <f>SUM(J26,G26,D26)</f>
        <v>4532.29</v>
      </c>
    </row>
    <row r="36">
      <c r="B36" s="100" t="s">
        <v>5</v>
      </c>
      <c r="C36" s="57" t="s">
        <v>31</v>
      </c>
    </row>
    <row r="37">
      <c r="B37" s="101" t="s">
        <v>45</v>
      </c>
      <c r="C37" s="102" t="s">
        <v>20</v>
      </c>
    </row>
    <row r="38">
      <c r="B38" s="80" t="s">
        <v>7</v>
      </c>
      <c r="C38" s="57" t="s">
        <v>32</v>
      </c>
    </row>
    <row r="39">
      <c r="B39" s="103" t="s">
        <v>10</v>
      </c>
      <c r="C39" s="104" t="s">
        <v>46</v>
      </c>
    </row>
  </sheetData>
  <mergeCells count="12">
    <mergeCell ref="F18:G18"/>
    <mergeCell ref="I18:J18"/>
    <mergeCell ref="C20:D20"/>
    <mergeCell ref="F20:G20"/>
    <mergeCell ref="I20:J20"/>
    <mergeCell ref="C4:D4"/>
    <mergeCell ref="F4:G4"/>
    <mergeCell ref="I4:J4"/>
    <mergeCell ref="C8:D8"/>
    <mergeCell ref="F8:G8"/>
    <mergeCell ref="I8:J8"/>
    <mergeCell ref="C18:D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29.43"/>
    <col customWidth="1" min="4" max="4" width="31.29"/>
    <col customWidth="1" min="5" max="5" width="43.0"/>
    <col customWidth="1" min="6" max="6" width="19.14"/>
    <col customWidth="1" min="7" max="7" width="17.43"/>
    <col customWidth="1" min="8" max="8" width="43.0"/>
    <col customWidth="1" min="9" max="9" width="19.0"/>
    <col customWidth="1" min="10" max="10" width="15.57"/>
  </cols>
  <sheetData>
    <row r="4">
      <c r="C4" s="84" t="s">
        <v>47</v>
      </c>
      <c r="D4" s="2"/>
      <c r="E4" s="3"/>
      <c r="F4" s="85" t="s">
        <v>48</v>
      </c>
      <c r="G4" s="5"/>
      <c r="H4" s="3"/>
      <c r="I4" s="85" t="s">
        <v>49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87">
        <v>1411.86</v>
      </c>
      <c r="D6" s="88">
        <v>446.15</v>
      </c>
      <c r="E6" s="11" t="s">
        <v>2</v>
      </c>
      <c r="F6" s="71">
        <v>1548.61</v>
      </c>
      <c r="G6" s="72">
        <v>1628.27</v>
      </c>
      <c r="H6" s="11" t="s">
        <v>2</v>
      </c>
      <c r="I6" s="71">
        <v>2076.1</v>
      </c>
      <c r="J6" s="72">
        <v>640.67</v>
      </c>
    </row>
    <row r="7">
      <c r="B7" s="16" t="s">
        <v>3</v>
      </c>
      <c r="C7" s="89">
        <v>707.47</v>
      </c>
      <c r="D7" s="90">
        <v>1076.97</v>
      </c>
      <c r="E7" s="16" t="s">
        <v>3</v>
      </c>
      <c r="F7" s="73">
        <v>37.68</v>
      </c>
      <c r="G7" s="74">
        <v>1103.1</v>
      </c>
      <c r="H7" s="16" t="s">
        <v>3</v>
      </c>
      <c r="I7" s="73">
        <v>37.68</v>
      </c>
      <c r="J7" s="74">
        <v>828.94</v>
      </c>
    </row>
    <row r="8">
      <c r="B8" s="21" t="s">
        <v>4</v>
      </c>
      <c r="C8" s="91">
        <v>870.08</v>
      </c>
      <c r="D8" s="23"/>
      <c r="E8" s="16" t="s">
        <v>4</v>
      </c>
      <c r="F8" s="75">
        <v>910.21</v>
      </c>
      <c r="G8" s="23"/>
      <c r="H8" s="21" t="s">
        <v>4</v>
      </c>
      <c r="I8" s="75">
        <v>882.14</v>
      </c>
      <c r="J8" s="23"/>
    </row>
    <row r="9">
      <c r="B9" s="16" t="s">
        <v>5</v>
      </c>
      <c r="C9" s="73">
        <v>16133.44</v>
      </c>
      <c r="D9" s="90">
        <v>4829.97</v>
      </c>
      <c r="E9" s="16" t="s">
        <v>5</v>
      </c>
      <c r="F9" s="73">
        <v>16241.41</v>
      </c>
      <c r="G9" s="74">
        <v>4829.97</v>
      </c>
      <c r="H9" s="16" t="s">
        <v>5</v>
      </c>
      <c r="I9" s="73">
        <v>16241.41</v>
      </c>
      <c r="J9" s="74">
        <v>4847.6</v>
      </c>
    </row>
    <row r="10">
      <c r="B10" s="28" t="s">
        <v>29</v>
      </c>
      <c r="C10" s="89">
        <v>2684.97</v>
      </c>
      <c r="D10" s="90">
        <v>2836.42</v>
      </c>
      <c r="E10" s="28" t="s">
        <v>29</v>
      </c>
      <c r="F10" s="73">
        <v>2821.62</v>
      </c>
      <c r="G10" s="74">
        <v>3014.77</v>
      </c>
      <c r="H10" s="28" t="s">
        <v>29</v>
      </c>
      <c r="I10" s="73">
        <v>2972.7</v>
      </c>
      <c r="J10" s="74">
        <v>3290.0</v>
      </c>
    </row>
    <row r="11">
      <c r="B11" s="16" t="s">
        <v>6</v>
      </c>
      <c r="C11" s="89">
        <v>12127.69</v>
      </c>
      <c r="D11" s="90">
        <v>6636.19</v>
      </c>
      <c r="E11" s="16" t="s">
        <v>6</v>
      </c>
      <c r="F11" s="73">
        <v>12881.21</v>
      </c>
      <c r="G11" s="74">
        <v>6125.61</v>
      </c>
      <c r="H11" s="16" t="s">
        <v>6</v>
      </c>
      <c r="I11" s="73">
        <v>13356.35</v>
      </c>
      <c r="J11" s="74">
        <v>7328.11</v>
      </c>
    </row>
    <row r="12">
      <c r="B12" s="105" t="s">
        <v>50</v>
      </c>
      <c r="C12" s="89">
        <v>1281.79</v>
      </c>
      <c r="D12" s="90">
        <v>6851.09</v>
      </c>
      <c r="E12" s="28" t="s">
        <v>7</v>
      </c>
      <c r="F12" s="76">
        <v>1537.07</v>
      </c>
      <c r="G12" s="74">
        <v>6894.34</v>
      </c>
      <c r="H12" s="28" t="s">
        <v>7</v>
      </c>
      <c r="I12" s="76">
        <v>1547.2</v>
      </c>
      <c r="J12" s="74">
        <v>6934.33</v>
      </c>
    </row>
    <row r="13">
      <c r="B13" s="28" t="s">
        <v>8</v>
      </c>
      <c r="C13" s="73">
        <v>3188.64</v>
      </c>
      <c r="D13" s="92">
        <v>6682.64</v>
      </c>
      <c r="E13" s="28" t="s">
        <v>8</v>
      </c>
      <c r="F13" s="73">
        <v>2937.06</v>
      </c>
      <c r="G13" s="74">
        <v>6236.63</v>
      </c>
      <c r="H13" s="28" t="s">
        <v>8</v>
      </c>
      <c r="I13" s="73">
        <v>2642.74</v>
      </c>
      <c r="J13" s="74">
        <v>5578.9</v>
      </c>
    </row>
    <row r="14">
      <c r="B14" s="28" t="s">
        <v>9</v>
      </c>
      <c r="C14" s="29"/>
      <c r="D14" s="90">
        <v>821.64</v>
      </c>
      <c r="E14" s="28" t="s">
        <v>9</v>
      </c>
      <c r="F14" s="30"/>
      <c r="G14" s="74">
        <v>816.22</v>
      </c>
      <c r="H14" s="28" t="s">
        <v>9</v>
      </c>
      <c r="I14" s="30"/>
      <c r="J14" s="74">
        <v>831.77</v>
      </c>
    </row>
    <row r="15">
      <c r="B15" s="95" t="s">
        <v>45</v>
      </c>
      <c r="C15" s="96"/>
      <c r="D15" s="97">
        <v>473.28</v>
      </c>
      <c r="E15" s="95" t="s">
        <v>45</v>
      </c>
      <c r="F15" s="98"/>
      <c r="G15" s="99">
        <v>452.37</v>
      </c>
      <c r="H15" s="95" t="s">
        <v>45</v>
      </c>
      <c r="I15" s="98"/>
      <c r="J15" s="99">
        <v>410.04</v>
      </c>
    </row>
    <row r="16">
      <c r="B16" s="31" t="s">
        <v>10</v>
      </c>
      <c r="C16" s="32"/>
      <c r="D16" s="93">
        <v>858.79</v>
      </c>
      <c r="E16" s="31" t="s">
        <v>10</v>
      </c>
      <c r="F16" s="34"/>
      <c r="G16" s="77">
        <v>872.38</v>
      </c>
      <c r="H16" s="31" t="s">
        <v>10</v>
      </c>
      <c r="I16" s="34"/>
      <c r="J16" s="77">
        <v>990.16</v>
      </c>
    </row>
    <row r="17">
      <c r="D17" s="36"/>
      <c r="G17" s="37"/>
      <c r="J17" s="37"/>
    </row>
    <row r="18">
      <c r="B18" s="40" t="s">
        <v>11</v>
      </c>
      <c r="C18" s="64">
        <f>SUM(C6:C7,C9:C13,C14,C16,D6:D7,D9:D16)</f>
        <v>69049</v>
      </c>
      <c r="D18" s="2"/>
      <c r="E18" s="40" t="s">
        <v>11</v>
      </c>
      <c r="F18" s="64">
        <f>SUM(F6:F7,F9:F13,F14,F16,G6:G7,G9:G16)</f>
        <v>69978.32</v>
      </c>
      <c r="G18" s="2"/>
      <c r="H18" s="40" t="s">
        <v>11</v>
      </c>
      <c r="I18" s="64">
        <f>SUM(I6:I7,I9:I13,I14,I16,J6:J7,J9:J16)</f>
        <v>70554.7</v>
      </c>
      <c r="J18" s="2"/>
    </row>
    <row r="19">
      <c r="B19" s="40" t="s">
        <v>12</v>
      </c>
      <c r="C19" s="65">
        <f>SUM(C6,C7,C9,C11,C13,C10,C12)</f>
        <v>37535.86</v>
      </c>
      <c r="D19" s="66">
        <f>SUM(D6,D7,D9,D11,D12,D13,D14,D16,D10,D15)</f>
        <v>31513.14</v>
      </c>
      <c r="E19" s="40" t="s">
        <v>12</v>
      </c>
      <c r="F19" s="65">
        <f>SUM(F6,F7,F9,F11,F13,F10,F12)</f>
        <v>38004.66</v>
      </c>
      <c r="G19" s="66">
        <f>SUM(G6,G7,G9,G11,G12,G13,G14,G16,G10,G15)</f>
        <v>31973.66</v>
      </c>
      <c r="H19" s="40" t="s">
        <v>12</v>
      </c>
      <c r="I19" s="65">
        <f>SUM(I6,I7,I9,I11,I13,I12,I10)</f>
        <v>38874.18</v>
      </c>
      <c r="J19" s="66">
        <f>SUM(J6,J7,J9,J11,J12,J13,J14,J16,J10,J15)</f>
        <v>31680.52</v>
      </c>
    </row>
    <row r="20">
      <c r="B20" s="42"/>
      <c r="C20" s="43"/>
      <c r="E20" s="42"/>
      <c r="F20" s="43"/>
      <c r="H20" s="42"/>
      <c r="I20" s="43"/>
    </row>
    <row r="21">
      <c r="D21" s="44"/>
      <c r="G21" s="44"/>
      <c r="J21" s="44"/>
    </row>
    <row r="22">
      <c r="B22" s="45" t="s">
        <v>13</v>
      </c>
      <c r="C22" s="46">
        <f>SUM(C6,D6,C7,D7,C9,D9,C11,D11)</f>
        <v>43369.74</v>
      </c>
      <c r="D22" s="37"/>
      <c r="E22" s="45" t="s">
        <v>13</v>
      </c>
      <c r="F22" s="46">
        <f>SUM(F6,F7,G7,G6,F9,F11,G11,G9)</f>
        <v>44395.86</v>
      </c>
      <c r="G22" s="37"/>
      <c r="H22" s="45" t="s">
        <v>13</v>
      </c>
      <c r="I22" s="46">
        <f>SUM(I6,I7,J7,J6,I9,I11,J11,J9)</f>
        <v>45356.86</v>
      </c>
      <c r="J22" s="47"/>
    </row>
    <row r="23">
      <c r="B23" s="45" t="s">
        <v>14</v>
      </c>
      <c r="C23" s="41">
        <f t="shared" ref="C23:D23" si="1">SUM(C6,C7,C9,C11)</f>
        <v>30380.46</v>
      </c>
      <c r="D23" s="41">
        <f t="shared" si="1"/>
        <v>12989.28</v>
      </c>
      <c r="E23" s="45" t="s">
        <v>14</v>
      </c>
      <c r="F23" s="41">
        <f t="shared" ref="F23:G23" si="2">SUM(F6,F7,F9,F11)</f>
        <v>30708.91</v>
      </c>
      <c r="G23" s="41">
        <f t="shared" si="2"/>
        <v>13686.95</v>
      </c>
      <c r="H23" s="45" t="s">
        <v>14</v>
      </c>
      <c r="I23" s="41">
        <f t="shared" ref="I23:J23" si="3">SUM(I6,I7,I9,I11)</f>
        <v>31711.54</v>
      </c>
      <c r="J23" s="41">
        <f t="shared" si="3"/>
        <v>13645.32</v>
      </c>
    </row>
    <row r="25">
      <c r="B25" s="48" t="s">
        <v>15</v>
      </c>
      <c r="C25" s="46">
        <f>C22-'2º Trimestre 2025'!I22</f>
        <v>-596.51</v>
      </c>
      <c r="D25" s="47"/>
      <c r="E25" s="48" t="s">
        <v>15</v>
      </c>
      <c r="F25" s="46">
        <f t="shared" ref="F25:F26" si="4">F22-C22</f>
        <v>1026.12</v>
      </c>
      <c r="G25" s="47"/>
      <c r="H25" s="48" t="s">
        <v>15</v>
      </c>
      <c r="I25" s="46">
        <f t="shared" ref="I25:I26" si="5">I22-F22</f>
        <v>961</v>
      </c>
      <c r="J25" s="47"/>
    </row>
    <row r="26">
      <c r="B26" s="48" t="s">
        <v>16</v>
      </c>
      <c r="C26" s="41">
        <f>C23-'2º Trimestre 2025'!I23</f>
        <v>-189.56</v>
      </c>
      <c r="D26" s="41">
        <f>D23-'2º Trimestre 2025'!J23</f>
        <v>-406.95</v>
      </c>
      <c r="E26" s="48" t="s">
        <v>16</v>
      </c>
      <c r="F26" s="41">
        <f t="shared" si="4"/>
        <v>328.45</v>
      </c>
      <c r="G26" s="41">
        <f>G23-D23</f>
        <v>697.67</v>
      </c>
      <c r="H26" s="48" t="s">
        <v>16</v>
      </c>
      <c r="I26" s="41">
        <f t="shared" si="5"/>
        <v>1002.63</v>
      </c>
      <c r="J26" s="41">
        <f>J23-G23</f>
        <v>-41.63</v>
      </c>
    </row>
    <row r="27">
      <c r="C27" s="51"/>
    </row>
    <row r="28">
      <c r="D28" s="51"/>
    </row>
    <row r="29">
      <c r="B29" s="52" t="s">
        <v>17</v>
      </c>
      <c r="C29" s="46">
        <f>C30+D30</f>
        <v>25679.26</v>
      </c>
      <c r="D29" s="47"/>
      <c r="E29" s="52" t="s">
        <v>17</v>
      </c>
      <c r="F29" s="46">
        <f>F30+G30</f>
        <v>25582.46</v>
      </c>
      <c r="G29" s="47"/>
      <c r="H29" s="52" t="s">
        <v>17</v>
      </c>
      <c r="I29" s="46">
        <f>I30+J30</f>
        <v>25197.84</v>
      </c>
      <c r="J29" s="47"/>
    </row>
    <row r="30">
      <c r="B30" s="52" t="s">
        <v>18</v>
      </c>
      <c r="C30" s="41">
        <f t="shared" ref="C30:D30" si="6">C19-C23</f>
        <v>7155.4</v>
      </c>
      <c r="D30" s="41">
        <f t="shared" si="6"/>
        <v>18523.86</v>
      </c>
      <c r="E30" s="52" t="s">
        <v>18</v>
      </c>
      <c r="F30" s="41">
        <f t="shared" ref="F30:G30" si="7">F19-F23</f>
        <v>7295.75</v>
      </c>
      <c r="G30" s="41">
        <f t="shared" si="7"/>
        <v>18286.71</v>
      </c>
      <c r="H30" s="52" t="s">
        <v>18</v>
      </c>
      <c r="I30" s="41">
        <f t="shared" ref="I30:J30" si="8">I19-I23</f>
        <v>7162.64</v>
      </c>
      <c r="J30" s="41">
        <f t="shared" si="8"/>
        <v>18035.2</v>
      </c>
    </row>
    <row r="31">
      <c r="D31" s="51"/>
    </row>
    <row r="32">
      <c r="B32" s="53" t="s">
        <v>19</v>
      </c>
    </row>
    <row r="34">
      <c r="B34" s="79" t="s">
        <v>8</v>
      </c>
      <c r="C34" s="55" t="s">
        <v>20</v>
      </c>
      <c r="E34" s="52" t="s">
        <v>22</v>
      </c>
      <c r="F34" s="46">
        <f t="shared" ref="F34:F35" si="9">SUM(I25,F25,C25)</f>
        <v>1390.61</v>
      </c>
    </row>
    <row r="35">
      <c r="B35" s="80" t="s">
        <v>21</v>
      </c>
      <c r="C35" s="57" t="s">
        <v>30</v>
      </c>
      <c r="E35" s="52" t="s">
        <v>22</v>
      </c>
      <c r="F35" s="41">
        <f t="shared" si="9"/>
        <v>1141.52</v>
      </c>
      <c r="G35" s="41">
        <f>SUM(J26,G26,D26)</f>
        <v>249.09</v>
      </c>
    </row>
    <row r="36">
      <c r="B36" s="100" t="s">
        <v>5</v>
      </c>
      <c r="C36" s="57" t="s">
        <v>31</v>
      </c>
    </row>
    <row r="37">
      <c r="B37" s="101" t="s">
        <v>45</v>
      </c>
      <c r="C37" s="102" t="s">
        <v>20</v>
      </c>
    </row>
    <row r="38">
      <c r="B38" s="80" t="s">
        <v>7</v>
      </c>
      <c r="C38" s="57" t="s">
        <v>32</v>
      </c>
    </row>
    <row r="39">
      <c r="B39" s="103" t="s">
        <v>10</v>
      </c>
      <c r="C39" s="106" t="s">
        <v>51</v>
      </c>
    </row>
  </sheetData>
  <mergeCells count="12">
    <mergeCell ref="F18:G18"/>
    <mergeCell ref="I18:J18"/>
    <mergeCell ref="C20:D20"/>
    <mergeCell ref="F20:G20"/>
    <mergeCell ref="I20:J20"/>
    <mergeCell ref="C4:D4"/>
    <mergeCell ref="F4:G4"/>
    <mergeCell ref="I4:J4"/>
    <mergeCell ref="C8:D8"/>
    <mergeCell ref="F8:G8"/>
    <mergeCell ref="I8:J8"/>
    <mergeCell ref="C18:D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29.43"/>
    <col customWidth="1" min="4" max="4" width="31.29"/>
    <col customWidth="1" min="5" max="5" width="43.0"/>
    <col customWidth="1" min="6" max="6" width="28.57"/>
    <col customWidth="1" min="7" max="7" width="32.0"/>
    <col customWidth="1" min="8" max="8" width="43.0"/>
    <col customWidth="1" min="9" max="9" width="19.0"/>
    <col customWidth="1" min="10" max="10" width="15.57"/>
  </cols>
  <sheetData>
    <row r="4">
      <c r="C4" s="84" t="s">
        <v>52</v>
      </c>
      <c r="D4" s="2"/>
      <c r="E4" s="3"/>
      <c r="F4" s="85" t="s">
        <v>53</v>
      </c>
      <c r="G4" s="5"/>
      <c r="H4" s="3"/>
      <c r="I4" s="85" t="s">
        <v>54</v>
      </c>
      <c r="J4" s="5"/>
    </row>
    <row r="5">
      <c r="B5" s="6"/>
      <c r="C5" s="7" t="s">
        <v>0</v>
      </c>
      <c r="D5" s="8" t="s">
        <v>1</v>
      </c>
      <c r="E5" s="9"/>
      <c r="F5" s="7" t="s">
        <v>0</v>
      </c>
      <c r="G5" s="10" t="s">
        <v>1</v>
      </c>
      <c r="H5" s="9"/>
      <c r="I5" s="7" t="s">
        <v>0</v>
      </c>
      <c r="J5" s="10" t="s">
        <v>1</v>
      </c>
    </row>
    <row r="6">
      <c r="B6" s="11" t="s">
        <v>2</v>
      </c>
      <c r="C6" s="87">
        <v>1604.87</v>
      </c>
      <c r="D6" s="88">
        <v>767.35</v>
      </c>
      <c r="E6" s="11" t="s">
        <v>2</v>
      </c>
      <c r="F6" s="71">
        <v>3247.81</v>
      </c>
      <c r="G6" s="72">
        <v>1748.48</v>
      </c>
      <c r="H6" s="11" t="s">
        <v>2</v>
      </c>
      <c r="I6" s="71">
        <v>1428.11</v>
      </c>
      <c r="J6" s="72">
        <v>191.6</v>
      </c>
    </row>
    <row r="7">
      <c r="B7" s="16" t="s">
        <v>3</v>
      </c>
      <c r="C7" s="89">
        <v>287.7</v>
      </c>
      <c r="D7" s="90">
        <v>654.13</v>
      </c>
      <c r="E7" s="16" t="s">
        <v>3</v>
      </c>
      <c r="F7" s="73">
        <v>37.7</v>
      </c>
      <c r="G7" s="74">
        <v>54.13</v>
      </c>
      <c r="H7" s="16" t="s">
        <v>3</v>
      </c>
      <c r="I7" s="73">
        <v>37.72</v>
      </c>
      <c r="J7" s="74">
        <v>104.16</v>
      </c>
    </row>
    <row r="8">
      <c r="B8" s="21" t="s">
        <v>4</v>
      </c>
      <c r="C8" s="91">
        <v>828.93</v>
      </c>
      <c r="D8" s="23"/>
      <c r="E8" s="107" t="s">
        <v>4</v>
      </c>
      <c r="F8" s="75">
        <v>878.35</v>
      </c>
      <c r="G8" s="23"/>
      <c r="H8" s="21" t="s">
        <v>4</v>
      </c>
      <c r="I8" s="75">
        <v>907.79</v>
      </c>
      <c r="J8" s="23"/>
    </row>
    <row r="9">
      <c r="B9" s="16" t="s">
        <v>5</v>
      </c>
      <c r="C9" s="73">
        <v>16241.41</v>
      </c>
      <c r="D9" s="90">
        <v>4861.22</v>
      </c>
      <c r="E9" s="16" t="s">
        <v>5</v>
      </c>
      <c r="F9" s="73">
        <v>16343.33</v>
      </c>
      <c r="G9" s="74">
        <v>4861.22</v>
      </c>
      <c r="H9" s="16" t="s">
        <v>5</v>
      </c>
      <c r="I9" s="73">
        <v>16343.33</v>
      </c>
      <c r="J9" s="74">
        <v>4878.2</v>
      </c>
    </row>
    <row r="10">
      <c r="B10" s="28" t="s">
        <v>29</v>
      </c>
      <c r="C10" s="89">
        <v>3248.8</v>
      </c>
      <c r="D10" s="90">
        <v>3657.86</v>
      </c>
      <c r="E10" s="28" t="s">
        <v>29</v>
      </c>
      <c r="F10" s="73">
        <v>3320.65</v>
      </c>
      <c r="G10" s="74">
        <v>3632.61</v>
      </c>
      <c r="H10" s="28" t="s">
        <v>29</v>
      </c>
      <c r="I10" s="73">
        <v>3442.1</v>
      </c>
      <c r="J10" s="74">
        <v>3757.3</v>
      </c>
    </row>
    <row r="11">
      <c r="B11" s="16" t="s">
        <v>6</v>
      </c>
      <c r="C11" s="89">
        <v>13360.85</v>
      </c>
      <c r="D11" s="90">
        <v>6779.23</v>
      </c>
      <c r="E11" s="16" t="s">
        <v>6</v>
      </c>
      <c r="F11" s="73">
        <v>12114.42</v>
      </c>
      <c r="G11" s="74">
        <v>5569.42</v>
      </c>
      <c r="H11" s="16" t="s">
        <v>6</v>
      </c>
      <c r="I11" s="73">
        <v>15887.89</v>
      </c>
      <c r="J11" s="74">
        <v>6887.02</v>
      </c>
    </row>
    <row r="12">
      <c r="B12" s="105" t="s">
        <v>50</v>
      </c>
      <c r="C12" s="89">
        <v>1739.56</v>
      </c>
      <c r="D12" s="90">
        <v>7551.3</v>
      </c>
      <c r="E12" s="28" t="s">
        <v>7</v>
      </c>
      <c r="F12" s="76">
        <v>2312.97</v>
      </c>
      <c r="G12" s="74">
        <v>7763.93</v>
      </c>
      <c r="H12" s="28" t="s">
        <v>7</v>
      </c>
      <c r="I12" s="76">
        <v>2667.02</v>
      </c>
      <c r="J12" s="74">
        <v>8196.53</v>
      </c>
    </row>
    <row r="13">
      <c r="B13" s="28" t="s">
        <v>8</v>
      </c>
      <c r="C13" s="73">
        <v>2818.14</v>
      </c>
      <c r="D13" s="92">
        <v>5980.93</v>
      </c>
      <c r="E13" s="28" t="s">
        <v>8</v>
      </c>
      <c r="F13" s="73">
        <v>3700.36</v>
      </c>
      <c r="G13" s="74">
        <v>6069.38</v>
      </c>
      <c r="H13" s="28" t="s">
        <v>8</v>
      </c>
      <c r="I13" s="73">
        <v>3984.14</v>
      </c>
      <c r="J13" s="74">
        <v>6507.85</v>
      </c>
    </row>
    <row r="14">
      <c r="B14" s="28" t="s">
        <v>9</v>
      </c>
      <c r="C14" s="29"/>
      <c r="D14" s="90">
        <v>870.34</v>
      </c>
      <c r="E14" s="28" t="s">
        <v>9</v>
      </c>
      <c r="F14" s="30"/>
      <c r="G14" s="74">
        <v>845.85</v>
      </c>
      <c r="H14" s="28" t="s">
        <v>9</v>
      </c>
      <c r="I14" s="30"/>
      <c r="J14" s="74">
        <v>863.66</v>
      </c>
    </row>
    <row r="15">
      <c r="B15" s="95" t="s">
        <v>45</v>
      </c>
      <c r="C15" s="96"/>
      <c r="D15" s="97">
        <v>391.22</v>
      </c>
      <c r="E15" s="95" t="s">
        <v>45</v>
      </c>
      <c r="F15" s="98"/>
      <c r="G15" s="99">
        <v>313.86</v>
      </c>
      <c r="H15" s="95" t="s">
        <v>45</v>
      </c>
      <c r="I15" s="98"/>
      <c r="J15" s="99">
        <v>282.0</v>
      </c>
    </row>
    <row r="16">
      <c r="B16" s="31" t="s">
        <v>10</v>
      </c>
      <c r="C16" s="32"/>
      <c r="D16" s="93">
        <v>980.0</v>
      </c>
      <c r="E16" s="31" t="s">
        <v>10</v>
      </c>
      <c r="F16" s="34"/>
      <c r="G16" s="77">
        <v>883.29</v>
      </c>
      <c r="H16" s="31" t="s">
        <v>10</v>
      </c>
      <c r="I16" s="34"/>
      <c r="J16" s="77">
        <v>875.63</v>
      </c>
    </row>
    <row r="17">
      <c r="D17" s="36"/>
      <c r="G17" s="37"/>
      <c r="J17" s="37"/>
    </row>
    <row r="18">
      <c r="B18" s="40" t="s">
        <v>11</v>
      </c>
      <c r="C18" s="64">
        <f>SUM(C6:C7,C9:C13,C14,C16,D6:D7,D9:D16)</f>
        <v>71794.91</v>
      </c>
      <c r="D18" s="2"/>
      <c r="E18" s="40" t="s">
        <v>11</v>
      </c>
      <c r="F18" s="64">
        <f>SUM(F6:F7,F9:F13,F14,F16,G6:G7,G9:G16)</f>
        <v>72819.41</v>
      </c>
      <c r="G18" s="2"/>
      <c r="H18" s="40" t="s">
        <v>11</v>
      </c>
      <c r="I18" s="64">
        <f>SUM(I6:I7,I9:I13,I14,I16,J6:J7,J9:J16)</f>
        <v>76334.26</v>
      </c>
      <c r="J18" s="2"/>
    </row>
    <row r="19">
      <c r="B19" s="40" t="s">
        <v>12</v>
      </c>
      <c r="C19" s="65">
        <f>SUM(C6,C7,C9,C11,C13,C10,C12)</f>
        <v>39301.33</v>
      </c>
      <c r="D19" s="66">
        <f>SUM(D6,D7,D9,D11,D12,D13,D14,D16,D10,D15)</f>
        <v>32493.58</v>
      </c>
      <c r="E19" s="40" t="s">
        <v>12</v>
      </c>
      <c r="F19" s="65">
        <f>SUM(F6,F7,F9,F11,F13,F10,F12)</f>
        <v>41077.24</v>
      </c>
      <c r="G19" s="66">
        <f>SUM(G6,G7,G9,G11,G12,G13,G14,G16,G10,G15)</f>
        <v>31742.17</v>
      </c>
      <c r="H19" s="40" t="s">
        <v>12</v>
      </c>
      <c r="I19" s="65">
        <f>SUM(I6,I7,I9,I11,I13,I12,I10)</f>
        <v>43790.31</v>
      </c>
      <c r="J19" s="66">
        <f>SUM(J6,J7,J9,J11,J12,J13,J14,J16,J10,J15)</f>
        <v>32543.95</v>
      </c>
    </row>
    <row r="20">
      <c r="B20" s="42"/>
      <c r="C20" s="43"/>
      <c r="E20" s="42"/>
      <c r="F20" s="43"/>
      <c r="H20" s="42"/>
      <c r="I20" s="43"/>
    </row>
    <row r="21">
      <c r="D21" s="44"/>
      <c r="G21" s="44"/>
      <c r="J21" s="44"/>
    </row>
    <row r="22">
      <c r="B22" s="45" t="s">
        <v>13</v>
      </c>
      <c r="C22" s="46">
        <f>SUM(C6,D6,C7,D7,C9,D9,C11,D11)</f>
        <v>44556.76</v>
      </c>
      <c r="D22" s="37"/>
      <c r="E22" s="45" t="s">
        <v>13</v>
      </c>
      <c r="F22" s="46">
        <f>SUM(F6,F7,G7,G6,F9,F11,G11,G9)</f>
        <v>43976.51</v>
      </c>
      <c r="G22" s="37"/>
      <c r="H22" s="45" t="s">
        <v>13</v>
      </c>
      <c r="I22" s="46">
        <f>SUM(I6,I7,J7,J6,I9,I11,J11,J9)</f>
        <v>45758.03</v>
      </c>
      <c r="J22" s="47"/>
    </row>
    <row r="23">
      <c r="B23" s="45" t="s">
        <v>14</v>
      </c>
      <c r="C23" s="41">
        <f t="shared" ref="C23:D23" si="1">SUM(C6,C7,C9,C11)</f>
        <v>31494.83</v>
      </c>
      <c r="D23" s="41">
        <f t="shared" si="1"/>
        <v>13061.93</v>
      </c>
      <c r="E23" s="45" t="s">
        <v>14</v>
      </c>
      <c r="F23" s="41">
        <f t="shared" ref="F23:G23" si="2">SUM(F6,F7,F9,F11)</f>
        <v>31743.26</v>
      </c>
      <c r="G23" s="41">
        <f t="shared" si="2"/>
        <v>12233.25</v>
      </c>
      <c r="H23" s="45" t="s">
        <v>14</v>
      </c>
      <c r="I23" s="41">
        <f t="shared" ref="I23:J23" si="3">SUM(I6,I7,I9,I11)</f>
        <v>33697.05</v>
      </c>
      <c r="J23" s="41">
        <f t="shared" si="3"/>
        <v>12060.98</v>
      </c>
    </row>
    <row r="25">
      <c r="B25" s="48" t="s">
        <v>15</v>
      </c>
      <c r="C25" s="46">
        <f>C22-'3º Trimestre 2025'!I22</f>
        <v>-800.1</v>
      </c>
      <c r="D25" s="47"/>
      <c r="E25" s="48" t="s">
        <v>15</v>
      </c>
      <c r="F25" s="46">
        <f t="shared" ref="F25:F26" si="4">F22-C22</f>
        <v>-580.25</v>
      </c>
      <c r="G25" s="47"/>
      <c r="H25" s="48" t="s">
        <v>15</v>
      </c>
      <c r="I25" s="46">
        <f t="shared" ref="I25:I26" si="5">I22-F22</f>
        <v>1781.52</v>
      </c>
      <c r="J25" s="47"/>
    </row>
    <row r="26">
      <c r="B26" s="48" t="s">
        <v>16</v>
      </c>
      <c r="C26" s="41">
        <f>C23-'3º Trimestre 2025'!I23</f>
        <v>-216.71</v>
      </c>
      <c r="D26" s="41">
        <f>D23-'3º Trimestre 2025'!J23</f>
        <v>-583.39</v>
      </c>
      <c r="E26" s="48" t="s">
        <v>16</v>
      </c>
      <c r="F26" s="41">
        <f t="shared" si="4"/>
        <v>248.43</v>
      </c>
      <c r="G26" s="41">
        <f>G23-D23</f>
        <v>-828.68</v>
      </c>
      <c r="H26" s="48" t="s">
        <v>16</v>
      </c>
      <c r="I26" s="41">
        <f t="shared" si="5"/>
        <v>1953.79</v>
      </c>
      <c r="J26" s="41">
        <f>J23-G23</f>
        <v>-172.27</v>
      </c>
    </row>
    <row r="27">
      <c r="C27" s="51"/>
    </row>
    <row r="28">
      <c r="D28" s="51"/>
    </row>
    <row r="29">
      <c r="B29" s="52" t="s">
        <v>17</v>
      </c>
      <c r="C29" s="46">
        <f>C30+D30</f>
        <v>27238.15</v>
      </c>
      <c r="D29" s="47"/>
      <c r="E29" s="52" t="s">
        <v>17</v>
      </c>
      <c r="F29" s="46">
        <f>F30+G30</f>
        <v>28842.9</v>
      </c>
      <c r="G29" s="47"/>
      <c r="H29" s="52" t="s">
        <v>17</v>
      </c>
      <c r="I29" s="46">
        <f>I30+J30</f>
        <v>30576.23</v>
      </c>
      <c r="J29" s="47"/>
    </row>
    <row r="30">
      <c r="B30" s="52" t="s">
        <v>18</v>
      </c>
      <c r="C30" s="41">
        <f t="shared" ref="C30:D30" si="6">C19-C23</f>
        <v>7806.5</v>
      </c>
      <c r="D30" s="41">
        <f t="shared" si="6"/>
        <v>19431.65</v>
      </c>
      <c r="E30" s="52" t="s">
        <v>18</v>
      </c>
      <c r="F30" s="41">
        <f t="shared" ref="F30:G30" si="7">F19-F23</f>
        <v>9333.98</v>
      </c>
      <c r="G30" s="41">
        <f t="shared" si="7"/>
        <v>19508.92</v>
      </c>
      <c r="H30" s="52" t="s">
        <v>18</v>
      </c>
      <c r="I30" s="41">
        <f t="shared" ref="I30:J30" si="8">I19-I23</f>
        <v>10093.26</v>
      </c>
      <c r="J30" s="41">
        <f t="shared" si="8"/>
        <v>20482.97</v>
      </c>
    </row>
    <row r="31">
      <c r="D31" s="51"/>
    </row>
    <row r="32">
      <c r="B32" s="53" t="s">
        <v>19</v>
      </c>
    </row>
    <row r="34">
      <c r="B34" s="79" t="s">
        <v>8</v>
      </c>
      <c r="C34" s="55" t="s">
        <v>20</v>
      </c>
      <c r="E34" s="52" t="s">
        <v>22</v>
      </c>
      <c r="F34" s="46">
        <f t="shared" ref="F34:F35" si="9">SUM(I25,F25,C25)</f>
        <v>401.17</v>
      </c>
    </row>
    <row r="35">
      <c r="B35" s="80" t="s">
        <v>21</v>
      </c>
      <c r="C35" s="57" t="s">
        <v>30</v>
      </c>
      <c r="E35" s="52" t="s">
        <v>22</v>
      </c>
      <c r="F35" s="41">
        <f t="shared" si="9"/>
        <v>1985.51</v>
      </c>
      <c r="G35" s="41">
        <f>SUM(J26,G26,D26)</f>
        <v>-1584.34</v>
      </c>
    </row>
    <row r="36">
      <c r="B36" s="100" t="s">
        <v>5</v>
      </c>
      <c r="C36" s="57" t="s">
        <v>31</v>
      </c>
    </row>
    <row r="37">
      <c r="B37" s="101" t="s">
        <v>45</v>
      </c>
      <c r="C37" s="102" t="s">
        <v>20</v>
      </c>
      <c r="H37" s="52" t="s">
        <v>38</v>
      </c>
      <c r="I37" s="46">
        <f>SUM(F34,'3º Trimestre 2025'!F34,'2º Trimestre 2025'!F34,'1º Trimestre 2025'!F33)</f>
        <v>20057.29</v>
      </c>
    </row>
    <row r="38">
      <c r="B38" s="80" t="s">
        <v>7</v>
      </c>
      <c r="C38" s="57" t="s">
        <v>32</v>
      </c>
      <c r="H38" s="52" t="s">
        <v>38</v>
      </c>
      <c r="I38" s="41">
        <f>SUM(F35,'3º Trimestre 2025'!F35,'2º Trimestre 2025'!F35,'1º Trimestre 2025'!F34)</f>
        <v>14124.85</v>
      </c>
      <c r="J38" s="41">
        <f>SUM(G35,'3º Trimestre 2025'!G35,'2º Trimestre 2025'!G35,'1º Trimestre 2025'!G34)</f>
        <v>5932.44</v>
      </c>
    </row>
    <row r="39">
      <c r="B39" s="103" t="s">
        <v>10</v>
      </c>
      <c r="C39" s="106" t="s">
        <v>51</v>
      </c>
    </row>
  </sheetData>
  <mergeCells count="12">
    <mergeCell ref="F18:G18"/>
    <mergeCell ref="I18:J18"/>
    <mergeCell ref="C20:D20"/>
    <mergeCell ref="F20:G20"/>
    <mergeCell ref="I20:J20"/>
    <mergeCell ref="C4:D4"/>
    <mergeCell ref="F4:G4"/>
    <mergeCell ref="I4:J4"/>
    <mergeCell ref="C8:D8"/>
    <mergeCell ref="F8:G8"/>
    <mergeCell ref="I8:J8"/>
    <mergeCell ref="C18:D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32.0"/>
    <col customWidth="1" min="4" max="4" width="28.0"/>
    <col customWidth="1" min="5" max="5" width="43.0"/>
    <col customWidth="1" min="6" max="6" width="23.71"/>
    <col customWidth="1" min="7" max="7" width="26.0"/>
    <col customWidth="1" min="8" max="8" width="44.57"/>
    <col customWidth="1" min="9" max="9" width="29.29"/>
    <col customWidth="1" min="10" max="10" width="30.14"/>
  </cols>
  <sheetData>
    <row r="4">
      <c r="C4" s="84" t="s">
        <v>55</v>
      </c>
      <c r="D4" s="2"/>
      <c r="E4" s="3"/>
      <c r="F4" s="85" t="s">
        <v>56</v>
      </c>
      <c r="G4" s="5"/>
      <c r="H4" s="108"/>
      <c r="I4" s="109" t="s">
        <v>57</v>
      </c>
      <c r="J4" s="110"/>
    </row>
    <row r="5">
      <c r="B5" s="6"/>
      <c r="C5" s="111" t="s">
        <v>0</v>
      </c>
      <c r="D5" s="112" t="s">
        <v>1</v>
      </c>
      <c r="E5" s="113"/>
      <c r="F5" s="111" t="s">
        <v>0</v>
      </c>
      <c r="G5" s="114" t="s">
        <v>1</v>
      </c>
      <c r="H5" s="115"/>
      <c r="I5" s="116" t="s">
        <v>0</v>
      </c>
      <c r="J5" s="117" t="s">
        <v>1</v>
      </c>
    </row>
    <row r="6">
      <c r="B6" s="118" t="s">
        <v>2</v>
      </c>
      <c r="C6" s="119">
        <v>1434.67</v>
      </c>
      <c r="D6" s="120">
        <v>633.97</v>
      </c>
      <c r="E6" s="118" t="s">
        <v>2</v>
      </c>
      <c r="F6" s="121">
        <v>1553.74</v>
      </c>
      <c r="G6" s="122">
        <v>211.04</v>
      </c>
      <c r="H6" s="123" t="s">
        <v>2</v>
      </c>
      <c r="I6" s="124">
        <v>1405.88</v>
      </c>
      <c r="J6" s="125">
        <v>724.48</v>
      </c>
    </row>
    <row r="7">
      <c r="B7" s="126" t="s">
        <v>3</v>
      </c>
      <c r="C7" s="127">
        <v>37.74</v>
      </c>
      <c r="D7" s="128">
        <v>479.25</v>
      </c>
      <c r="E7" s="126" t="s">
        <v>3</v>
      </c>
      <c r="F7" s="129">
        <v>37.74</v>
      </c>
      <c r="G7" s="130">
        <v>504.39</v>
      </c>
      <c r="H7" s="131" t="s">
        <v>3</v>
      </c>
      <c r="I7" s="129">
        <v>37.74</v>
      </c>
      <c r="J7" s="130">
        <v>529.54</v>
      </c>
    </row>
    <row r="8">
      <c r="B8" s="132" t="s">
        <v>4</v>
      </c>
      <c r="C8" s="133">
        <v>989.42</v>
      </c>
      <c r="D8" s="134"/>
      <c r="E8" s="126" t="s">
        <v>4</v>
      </c>
      <c r="F8" s="135">
        <v>904.33</v>
      </c>
      <c r="G8" s="134"/>
      <c r="H8" s="136" t="s">
        <v>4</v>
      </c>
      <c r="I8" s="135">
        <v>882.56</v>
      </c>
      <c r="J8" s="134"/>
    </row>
    <row r="9">
      <c r="B9" s="126" t="s">
        <v>5</v>
      </c>
      <c r="C9" s="129">
        <v>16447.52</v>
      </c>
      <c r="D9" s="128">
        <v>4891.9</v>
      </c>
      <c r="E9" s="126" t="s">
        <v>5</v>
      </c>
      <c r="F9" s="129">
        <v>16447.52</v>
      </c>
      <c r="G9" s="130">
        <v>4891.9</v>
      </c>
      <c r="H9" s="131" t="s">
        <v>5</v>
      </c>
      <c r="I9" s="129">
        <v>16447.52</v>
      </c>
      <c r="J9" s="130">
        <v>4909.21</v>
      </c>
    </row>
    <row r="10">
      <c r="B10" s="137" t="s">
        <v>29</v>
      </c>
      <c r="C10" s="127">
        <v>3627.39</v>
      </c>
      <c r="D10" s="128">
        <v>3854.11</v>
      </c>
      <c r="E10" s="137" t="s">
        <v>29</v>
      </c>
      <c r="F10" s="129">
        <v>3765.52</v>
      </c>
      <c r="G10" s="130">
        <v>3972.55</v>
      </c>
      <c r="H10" s="138" t="s">
        <v>29</v>
      </c>
      <c r="I10" s="129">
        <v>3678.03</v>
      </c>
      <c r="J10" s="130">
        <v>3801.09</v>
      </c>
    </row>
    <row r="11">
      <c r="B11" s="126" t="s">
        <v>6</v>
      </c>
      <c r="C11" s="127">
        <v>15900.85</v>
      </c>
      <c r="D11" s="128">
        <v>7140.68</v>
      </c>
      <c r="E11" s="126" t="s">
        <v>6</v>
      </c>
      <c r="F11" s="129">
        <v>16065.69</v>
      </c>
      <c r="G11" s="130">
        <v>9006.04</v>
      </c>
      <c r="H11" s="131" t="s">
        <v>6</v>
      </c>
      <c r="I11" s="129">
        <v>15048.75</v>
      </c>
      <c r="J11" s="130">
        <v>8059.66</v>
      </c>
    </row>
    <row r="12">
      <c r="B12" s="137" t="s">
        <v>7</v>
      </c>
      <c r="C12" s="127">
        <v>2623.48</v>
      </c>
      <c r="D12" s="128">
        <v>8267.1</v>
      </c>
      <c r="E12" s="137" t="s">
        <v>7</v>
      </c>
      <c r="F12" s="139">
        <v>2529.39</v>
      </c>
      <c r="G12" s="130">
        <v>7964.9</v>
      </c>
      <c r="H12" s="138" t="s">
        <v>7</v>
      </c>
      <c r="I12" s="139">
        <v>2402.37</v>
      </c>
      <c r="J12" s="130">
        <v>7684.89</v>
      </c>
    </row>
    <row r="13">
      <c r="B13" s="137" t="s">
        <v>8</v>
      </c>
      <c r="C13" s="129">
        <v>3482.14</v>
      </c>
      <c r="D13" s="140">
        <v>5690.01</v>
      </c>
      <c r="E13" s="137" t="s">
        <v>8</v>
      </c>
      <c r="F13" s="129">
        <v>2758.31</v>
      </c>
      <c r="G13" s="130">
        <v>4622.1</v>
      </c>
      <c r="H13" s="138" t="s">
        <v>8</v>
      </c>
      <c r="I13" s="129">
        <v>2966.44</v>
      </c>
      <c r="J13" s="130">
        <v>4849.77</v>
      </c>
    </row>
    <row r="14">
      <c r="B14" s="137" t="s">
        <v>9</v>
      </c>
      <c r="C14" s="141"/>
      <c r="D14" s="128">
        <v>852.48</v>
      </c>
      <c r="E14" s="137" t="s">
        <v>9</v>
      </c>
      <c r="F14" s="142"/>
      <c r="G14" s="130">
        <v>865.89</v>
      </c>
      <c r="H14" s="138" t="s">
        <v>9</v>
      </c>
      <c r="I14" s="142"/>
      <c r="J14" s="130">
        <v>824.87</v>
      </c>
    </row>
    <row r="15">
      <c r="B15" s="95" t="s">
        <v>45</v>
      </c>
      <c r="C15" s="96"/>
      <c r="D15" s="97">
        <v>193.42</v>
      </c>
      <c r="E15" s="95" t="s">
        <v>45</v>
      </c>
      <c r="F15" s="98"/>
      <c r="G15" s="99">
        <v>213.7</v>
      </c>
      <c r="H15" s="95" t="s">
        <v>45</v>
      </c>
      <c r="I15" s="98"/>
      <c r="J15" s="99">
        <v>204.37</v>
      </c>
    </row>
    <row r="16">
      <c r="B16" s="137" t="s">
        <v>10</v>
      </c>
      <c r="C16" s="141"/>
      <c r="D16" s="128">
        <v>927.69</v>
      </c>
      <c r="E16" s="137" t="s">
        <v>10</v>
      </c>
      <c r="F16" s="142"/>
      <c r="G16" s="130">
        <v>975.8</v>
      </c>
      <c r="H16" s="138" t="s">
        <v>10</v>
      </c>
      <c r="I16" s="142"/>
      <c r="J16" s="130">
        <v>1031.99</v>
      </c>
    </row>
    <row r="17">
      <c r="B17" s="143" t="s">
        <v>58</v>
      </c>
      <c r="C17" s="144">
        <v>302.27</v>
      </c>
      <c r="D17" s="145"/>
      <c r="E17" s="143" t="s">
        <v>58</v>
      </c>
      <c r="F17" s="146">
        <v>357.74</v>
      </c>
      <c r="G17" s="147"/>
      <c r="H17" s="148" t="s">
        <v>58</v>
      </c>
      <c r="I17" s="146">
        <v>394.76</v>
      </c>
      <c r="J17" s="147"/>
    </row>
    <row r="18">
      <c r="D18" s="149"/>
      <c r="G18" s="37"/>
      <c r="J18" s="37"/>
    </row>
    <row r="19">
      <c r="B19" s="40" t="s">
        <v>11</v>
      </c>
      <c r="C19" s="64">
        <f>SUM(C9:D17,C6:D7)</f>
        <v>76786.67</v>
      </c>
      <c r="D19" s="2"/>
      <c r="E19" s="40" t="s">
        <v>11</v>
      </c>
      <c r="F19" s="64">
        <f>SUM(F6:F7,F9:F13,F14,F16,G6:G7,G9:G16)</f>
        <v>76386.22</v>
      </c>
      <c r="G19" s="2"/>
      <c r="H19" s="40" t="s">
        <v>11</v>
      </c>
      <c r="I19" s="64">
        <f>SUM(I6:I7,I9:I13,I14,I16,J6:J7,J9:J16)</f>
        <v>74606.6</v>
      </c>
      <c r="J19" s="2"/>
    </row>
    <row r="20">
      <c r="B20" s="40" t="s">
        <v>12</v>
      </c>
      <c r="C20" s="65">
        <f>SUM(C6,C7,C9,C11,C13,C10,C12,C17)</f>
        <v>43856.06</v>
      </c>
      <c r="D20" s="66">
        <f>SUM(D6,D7,D9,D11,D12,D13,D14,D16,D10,D15)</f>
        <v>32930.61</v>
      </c>
      <c r="E20" s="40" t="s">
        <v>12</v>
      </c>
      <c r="F20" s="65">
        <f>SUM(F6,F7,F9,F11,F13,F10,F12,F17)</f>
        <v>43515.65</v>
      </c>
      <c r="G20" s="66">
        <f>SUM(G6,G7,G9,G11,G12,G13,G14,G16,G10,G16)</f>
        <v>33990.41</v>
      </c>
      <c r="H20" s="40" t="s">
        <v>12</v>
      </c>
      <c r="I20" s="65">
        <f>SUM(I6,I7,I9,I11,I13,I12,I10,I17)</f>
        <v>42381.49</v>
      </c>
      <c r="J20" s="66">
        <f>SUM(J6,J7,J9,J11,J12,J13,J14,J16,J10,J16)</f>
        <v>33447.49</v>
      </c>
    </row>
    <row r="21">
      <c r="B21" s="42"/>
      <c r="C21" s="43"/>
      <c r="E21" s="42"/>
      <c r="F21" s="43"/>
      <c r="H21" s="42"/>
      <c r="I21" s="43"/>
    </row>
    <row r="22">
      <c r="D22" s="44"/>
      <c r="G22" s="44"/>
      <c r="J22" s="44"/>
    </row>
    <row r="23">
      <c r="B23" s="45" t="s">
        <v>13</v>
      </c>
      <c r="C23" s="46">
        <f>SUM(C6,D6,C7,D7,C9,D9,C11,D11)</f>
        <v>46966.58</v>
      </c>
      <c r="D23" s="37"/>
      <c r="E23" s="45" t="s">
        <v>13</v>
      </c>
      <c r="F23" s="46">
        <f>SUM(F6,F7,G7,G6,F9,F11,G11,G9)</f>
        <v>48718.06</v>
      </c>
      <c r="G23" s="37"/>
      <c r="H23" s="45" t="s">
        <v>13</v>
      </c>
      <c r="I23" s="46">
        <f>SUM(I6,I7,J7,J6,I9,I11,J11,J9)</f>
        <v>47162.78</v>
      </c>
      <c r="J23" s="47"/>
    </row>
    <row r="24">
      <c r="B24" s="45" t="s">
        <v>14</v>
      </c>
      <c r="C24" s="41">
        <f t="shared" ref="C24:D24" si="1">SUM(C6,C7,C9,C11)</f>
        <v>33820.78</v>
      </c>
      <c r="D24" s="41">
        <f t="shared" si="1"/>
        <v>13145.8</v>
      </c>
      <c r="E24" s="45" t="s">
        <v>14</v>
      </c>
      <c r="F24" s="41">
        <f t="shared" ref="F24:G24" si="2">SUM(F6,F7,F9,F11)</f>
        <v>34104.69</v>
      </c>
      <c r="G24" s="41">
        <f t="shared" si="2"/>
        <v>14613.37</v>
      </c>
      <c r="H24" s="45" t="s">
        <v>14</v>
      </c>
      <c r="I24" s="41">
        <f t="shared" ref="I24:J24" si="3">SUM(I6,I7,I9,I11)</f>
        <v>32939.89</v>
      </c>
      <c r="J24" s="41">
        <f t="shared" si="3"/>
        <v>14222.89</v>
      </c>
    </row>
    <row r="26">
      <c r="B26" s="48" t="s">
        <v>15</v>
      </c>
      <c r="C26" s="46">
        <f>C23-'4º Trimestre 2025'!I22</f>
        <v>1208.55</v>
      </c>
      <c r="D26" s="47"/>
      <c r="E26" s="48" t="s">
        <v>15</v>
      </c>
      <c r="F26" s="46">
        <f t="shared" ref="F26:F27" si="4">F23-C23</f>
        <v>1751.48</v>
      </c>
      <c r="G26" s="47"/>
      <c r="H26" s="48" t="s">
        <v>15</v>
      </c>
      <c r="I26" s="46">
        <f t="shared" ref="I26:I27" si="5">I23-F23</f>
        <v>-1555.28</v>
      </c>
      <c r="J26" s="47"/>
    </row>
    <row r="27">
      <c r="B27" s="48" t="s">
        <v>16</v>
      </c>
      <c r="C27" s="41">
        <f>C24-'4º Trimestre 2025'!I23</f>
        <v>123.73</v>
      </c>
      <c r="D27" s="41">
        <f>D24-'4º Trimestre 2025'!J23</f>
        <v>1084.82</v>
      </c>
      <c r="E27" s="48" t="s">
        <v>16</v>
      </c>
      <c r="F27" s="41">
        <f t="shared" si="4"/>
        <v>283.91</v>
      </c>
      <c r="G27" s="41">
        <f>G24-D24</f>
        <v>1467.57</v>
      </c>
      <c r="H27" s="48" t="s">
        <v>16</v>
      </c>
      <c r="I27" s="41">
        <f t="shared" si="5"/>
        <v>-1164.8</v>
      </c>
      <c r="J27" s="41">
        <f>J24-G24</f>
        <v>-390.48</v>
      </c>
    </row>
    <row r="28">
      <c r="D28" s="51"/>
    </row>
    <row r="29">
      <c r="D29" s="51"/>
    </row>
    <row r="30">
      <c r="B30" s="52" t="s">
        <v>17</v>
      </c>
      <c r="C30" s="46">
        <f>C31+D31</f>
        <v>29820.09</v>
      </c>
      <c r="D30" s="47"/>
      <c r="E30" s="52" t="s">
        <v>17</v>
      </c>
      <c r="F30" s="46">
        <f>F31+G31</f>
        <v>28788</v>
      </c>
      <c r="G30" s="47"/>
      <c r="H30" s="52" t="s">
        <v>17</v>
      </c>
      <c r="I30" s="46">
        <f>I31+J31</f>
        <v>28666.2</v>
      </c>
      <c r="J30" s="47"/>
    </row>
    <row r="31">
      <c r="B31" s="52" t="s">
        <v>18</v>
      </c>
      <c r="C31" s="41">
        <f t="shared" ref="C31:D31" si="6">C20-C24</f>
        <v>10035.28</v>
      </c>
      <c r="D31" s="41">
        <f t="shared" si="6"/>
        <v>19784.81</v>
      </c>
      <c r="E31" s="52" t="s">
        <v>18</v>
      </c>
      <c r="F31" s="41">
        <f t="shared" ref="F31:G31" si="7">F20-F24</f>
        <v>9410.96</v>
      </c>
      <c r="G31" s="41">
        <f t="shared" si="7"/>
        <v>19377.04</v>
      </c>
      <c r="H31" s="52" t="s">
        <v>18</v>
      </c>
      <c r="I31" s="41">
        <f t="shared" ref="I31:J31" si="8">I20-I24</f>
        <v>9441.6</v>
      </c>
      <c r="J31" s="41">
        <f t="shared" si="8"/>
        <v>19224.6</v>
      </c>
    </row>
    <row r="32">
      <c r="D32" s="51"/>
    </row>
    <row r="33">
      <c r="B33" s="53" t="s">
        <v>19</v>
      </c>
    </row>
    <row r="35">
      <c r="B35" s="79" t="s">
        <v>8</v>
      </c>
      <c r="C35" s="67" t="s">
        <v>20</v>
      </c>
      <c r="E35" s="52" t="s">
        <v>22</v>
      </c>
      <c r="F35" s="46">
        <f t="shared" ref="F35:F36" si="9">SUM(I26,F26,C26)</f>
        <v>1404.75</v>
      </c>
    </row>
    <row r="36">
      <c r="B36" s="80" t="s">
        <v>21</v>
      </c>
      <c r="C36" s="68" t="s">
        <v>30</v>
      </c>
      <c r="E36" s="52" t="s">
        <v>22</v>
      </c>
      <c r="F36" s="41">
        <f t="shared" si="9"/>
        <v>-757.16</v>
      </c>
      <c r="G36" s="41">
        <f>SUM(J27,G27,D27)</f>
        <v>2161.91</v>
      </c>
    </row>
    <row r="37">
      <c r="B37" s="81" t="s">
        <v>5</v>
      </c>
      <c r="C37" s="68" t="s">
        <v>31</v>
      </c>
    </row>
    <row r="38">
      <c r="B38" s="82" t="s">
        <v>7</v>
      </c>
      <c r="C38" s="83" t="s">
        <v>32</v>
      </c>
    </row>
  </sheetData>
  <mergeCells count="12">
    <mergeCell ref="F19:G19"/>
    <mergeCell ref="I19:J19"/>
    <mergeCell ref="C21:D21"/>
    <mergeCell ref="F21:G21"/>
    <mergeCell ref="I21:J21"/>
    <mergeCell ref="C4:D4"/>
    <mergeCell ref="F4:G4"/>
    <mergeCell ref="I4:J4"/>
    <mergeCell ref="C8:D8"/>
    <mergeCell ref="F8:G8"/>
    <mergeCell ref="I8:J8"/>
    <mergeCell ref="C19:D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32.0"/>
    <col customWidth="1" min="4" max="4" width="28.0"/>
    <col customWidth="1" min="5" max="5" width="43.0"/>
    <col customWidth="1" min="6" max="6" width="23.71"/>
    <col customWidth="1" min="7" max="7" width="26.0"/>
    <col customWidth="1" min="8" max="8" width="44.57"/>
    <col customWidth="1" min="9" max="9" width="29.29"/>
    <col customWidth="1" min="10" max="10" width="30.14"/>
  </cols>
  <sheetData>
    <row r="4">
      <c r="C4" s="84" t="s">
        <v>59</v>
      </c>
      <c r="D4" s="2"/>
      <c r="E4" s="3"/>
      <c r="F4" s="85" t="s">
        <v>60</v>
      </c>
      <c r="G4" s="5"/>
      <c r="H4" s="108"/>
      <c r="I4" s="109" t="s">
        <v>61</v>
      </c>
      <c r="J4" s="110"/>
    </row>
    <row r="5">
      <c r="B5" s="6"/>
      <c r="C5" s="111" t="s">
        <v>0</v>
      </c>
      <c r="D5" s="112" t="s">
        <v>1</v>
      </c>
      <c r="E5" s="113"/>
      <c r="F5" s="111" t="s">
        <v>0</v>
      </c>
      <c r="G5" s="114" t="s">
        <v>1</v>
      </c>
      <c r="H5" s="115"/>
      <c r="I5" s="116" t="s">
        <v>0</v>
      </c>
      <c r="J5" s="117" t="s">
        <v>1</v>
      </c>
    </row>
    <row r="6">
      <c r="B6" s="118" t="s">
        <v>2</v>
      </c>
      <c r="C6" s="119">
        <v>1671.17</v>
      </c>
      <c r="D6" s="120">
        <v>466.7</v>
      </c>
      <c r="E6" s="118" t="s">
        <v>2</v>
      </c>
      <c r="F6" s="121">
        <v>1836.14</v>
      </c>
      <c r="G6" s="122">
        <v>356.11</v>
      </c>
      <c r="H6" s="123" t="s">
        <v>2</v>
      </c>
      <c r="I6" s="124"/>
      <c r="J6" s="125"/>
    </row>
    <row r="7">
      <c r="B7" s="126" t="s">
        <v>3</v>
      </c>
      <c r="C7" s="127">
        <v>37.76</v>
      </c>
      <c r="D7" s="128">
        <v>554.7</v>
      </c>
      <c r="E7" s="126" t="s">
        <v>3</v>
      </c>
      <c r="F7" s="129">
        <v>37.76</v>
      </c>
      <c r="G7" s="130">
        <v>579.87</v>
      </c>
      <c r="H7" s="131" t="s">
        <v>3</v>
      </c>
      <c r="I7" s="129"/>
      <c r="J7" s="130"/>
    </row>
    <row r="8">
      <c r="B8" s="132" t="s">
        <v>4</v>
      </c>
      <c r="C8" s="133">
        <v>841.25</v>
      </c>
      <c r="D8" s="134"/>
      <c r="E8" s="126" t="s">
        <v>4</v>
      </c>
      <c r="F8" s="135">
        <v>858.78</v>
      </c>
      <c r="G8" s="134"/>
      <c r="H8" s="136" t="s">
        <v>4</v>
      </c>
      <c r="I8" s="135"/>
      <c r="J8" s="134"/>
    </row>
    <row r="9">
      <c r="B9" s="126" t="s">
        <v>5</v>
      </c>
      <c r="C9" s="129">
        <v>16447.52</v>
      </c>
      <c r="D9" s="128">
        <v>4923.13</v>
      </c>
      <c r="E9" s="126" t="s">
        <v>5</v>
      </c>
      <c r="F9" s="129">
        <v>16552.02</v>
      </c>
      <c r="G9" s="130">
        <v>4923.13</v>
      </c>
      <c r="H9" s="131" t="s">
        <v>5</v>
      </c>
      <c r="I9" s="129"/>
      <c r="J9" s="130"/>
    </row>
    <row r="10">
      <c r="B10" s="137" t="s">
        <v>29</v>
      </c>
      <c r="C10" s="127">
        <v>4130.72</v>
      </c>
      <c r="D10" s="128">
        <v>4364.3</v>
      </c>
      <c r="E10" s="137" t="s">
        <v>29</v>
      </c>
      <c r="F10" s="129">
        <v>4540.4</v>
      </c>
      <c r="G10" s="130">
        <v>4837.92</v>
      </c>
      <c r="H10" s="138" t="s">
        <v>29</v>
      </c>
      <c r="I10" s="129"/>
      <c r="J10" s="130"/>
    </row>
    <row r="11">
      <c r="B11" s="126" t="s">
        <v>6</v>
      </c>
      <c r="C11" s="127">
        <v>14696.25</v>
      </c>
      <c r="D11" s="128">
        <v>8503.19</v>
      </c>
      <c r="E11" s="126" t="s">
        <v>6</v>
      </c>
      <c r="F11" s="129">
        <v>19052.68</v>
      </c>
      <c r="G11" s="130">
        <v>9951.23</v>
      </c>
      <c r="H11" s="131" t="s">
        <v>6</v>
      </c>
      <c r="I11" s="129"/>
      <c r="J11" s="130"/>
    </row>
    <row r="12">
      <c r="B12" s="137" t="s">
        <v>7</v>
      </c>
      <c r="C12" s="127">
        <v>2544.88</v>
      </c>
      <c r="D12" s="128">
        <v>8919.77</v>
      </c>
      <c r="E12" s="137" t="s">
        <v>7</v>
      </c>
      <c r="F12" s="139">
        <v>2609.46</v>
      </c>
      <c r="G12" s="130">
        <v>9129.68</v>
      </c>
      <c r="H12" s="138" t="s">
        <v>7</v>
      </c>
      <c r="I12" s="139"/>
      <c r="J12" s="150"/>
    </row>
    <row r="13">
      <c r="B13" s="137" t="s">
        <v>8</v>
      </c>
      <c r="C13" s="129">
        <v>2665.08</v>
      </c>
      <c r="D13" s="140">
        <v>4351.3</v>
      </c>
      <c r="E13" s="137" t="s">
        <v>8</v>
      </c>
      <c r="F13" s="129">
        <v>3793.71</v>
      </c>
      <c r="G13" s="130"/>
      <c r="H13" s="138" t="s">
        <v>8</v>
      </c>
      <c r="I13" s="129"/>
      <c r="J13" s="130"/>
    </row>
    <row r="14">
      <c r="B14" s="137" t="s">
        <v>9</v>
      </c>
      <c r="C14" s="141"/>
      <c r="D14" s="128">
        <v>903.69</v>
      </c>
      <c r="E14" s="137" t="s">
        <v>9</v>
      </c>
      <c r="F14" s="142"/>
      <c r="G14" s="130">
        <v>956.54</v>
      </c>
      <c r="H14" s="138" t="s">
        <v>9</v>
      </c>
      <c r="I14" s="142"/>
      <c r="J14" s="130"/>
    </row>
    <row r="15">
      <c r="B15" s="95" t="s">
        <v>45</v>
      </c>
      <c r="C15" s="96"/>
      <c r="D15" s="97">
        <v>211.77</v>
      </c>
      <c r="E15" s="95" t="s">
        <v>45</v>
      </c>
      <c r="F15" s="98"/>
      <c r="G15" s="99">
        <v>200.84</v>
      </c>
      <c r="H15" s="95" t="s">
        <v>45</v>
      </c>
      <c r="I15" s="98"/>
      <c r="J15" s="99"/>
    </row>
    <row r="16">
      <c r="B16" s="137" t="s">
        <v>10</v>
      </c>
      <c r="C16" s="141"/>
      <c r="D16" s="128">
        <v>1110.64</v>
      </c>
      <c r="E16" s="137" t="s">
        <v>10</v>
      </c>
      <c r="F16" s="142"/>
      <c r="G16" s="130">
        <v>1153.78</v>
      </c>
      <c r="H16" s="138" t="s">
        <v>10</v>
      </c>
      <c r="I16" s="142"/>
      <c r="J16" s="130"/>
    </row>
    <row r="17">
      <c r="B17" s="143" t="s">
        <v>58</v>
      </c>
      <c r="C17" s="144">
        <v>455.71</v>
      </c>
      <c r="D17" s="145"/>
      <c r="E17" s="143" t="s">
        <v>58</v>
      </c>
      <c r="F17" s="146">
        <v>514.43</v>
      </c>
      <c r="G17" s="147"/>
      <c r="H17" s="148" t="s">
        <v>58</v>
      </c>
      <c r="I17" s="146"/>
      <c r="J17" s="147"/>
    </row>
    <row r="18">
      <c r="D18" s="149"/>
      <c r="G18" s="37"/>
      <c r="J18" s="37"/>
    </row>
    <row r="19">
      <c r="B19" s="40" t="s">
        <v>11</v>
      </c>
      <c r="C19" s="64">
        <f>SUM(C9:D17,C6:D7)</f>
        <v>76958.28</v>
      </c>
      <c r="D19" s="2"/>
      <c r="E19" s="40" t="s">
        <v>11</v>
      </c>
      <c r="F19" s="64">
        <f>SUM(F6:F7,F9:F13,F14,F16,G6:G7,G9:G16)</f>
        <v>80511.27</v>
      </c>
      <c r="G19" s="2"/>
      <c r="H19" s="40" t="s">
        <v>11</v>
      </c>
      <c r="I19" s="64">
        <f>SUM(I6:I7,I9:I13,I14,I16,J6:J7,J9:J16)</f>
        <v>0</v>
      </c>
      <c r="J19" s="2"/>
    </row>
    <row r="20">
      <c r="B20" s="40" t="s">
        <v>12</v>
      </c>
      <c r="C20" s="65">
        <f>SUM(C6,C7,C9,C11,C13,C10,C12,C17)</f>
        <v>42649.09</v>
      </c>
      <c r="D20" s="66">
        <f>SUM(D6,D7,D9,D11,D12,D13,D14,D16,D10,D15)</f>
        <v>34309.19</v>
      </c>
      <c r="E20" s="40" t="s">
        <v>12</v>
      </c>
      <c r="F20" s="65">
        <f>SUM(F6,F7,F9,F11,F13,F10,F12,F17)</f>
        <v>48936.6</v>
      </c>
      <c r="G20" s="66">
        <f>SUM(G6,G7,G9,G11,G12,G13,G14,G16,G10,G16)</f>
        <v>33042.04</v>
      </c>
      <c r="H20" s="40" t="s">
        <v>12</v>
      </c>
      <c r="I20" s="65">
        <f>SUM(I6,I7,I9,I11,I13,I12,I10,I17)</f>
        <v>0</v>
      </c>
      <c r="J20" s="66">
        <f>SUM(J6,J7,J9,J11,J12,J13,J14,J16,J10,J16)</f>
        <v>0</v>
      </c>
    </row>
    <row r="21">
      <c r="B21" s="42"/>
      <c r="C21" s="43"/>
      <c r="E21" s="42"/>
      <c r="F21" s="43"/>
      <c r="H21" s="42"/>
      <c r="I21" s="43"/>
    </row>
    <row r="22">
      <c r="D22" s="44"/>
      <c r="G22" s="44"/>
      <c r="J22" s="44"/>
    </row>
    <row r="23">
      <c r="B23" s="45" t="s">
        <v>13</v>
      </c>
      <c r="C23" s="46">
        <f>SUM(C6,D6,C7,D7,C9,D9,C11,D11)</f>
        <v>47300.42</v>
      </c>
      <c r="D23" s="37"/>
      <c r="E23" s="45" t="s">
        <v>13</v>
      </c>
      <c r="F23" s="46">
        <f>SUM(F6,F7,G7,G6,F9,F11,G11,G9)</f>
        <v>53288.94</v>
      </c>
      <c r="G23" s="37"/>
      <c r="H23" s="45" t="s">
        <v>13</v>
      </c>
      <c r="I23" s="46">
        <f>SUM(I6,I7,J7,J6,I9,I11,J11,J9)</f>
        <v>0</v>
      </c>
      <c r="J23" s="47"/>
    </row>
    <row r="24">
      <c r="B24" s="45" t="s">
        <v>14</v>
      </c>
      <c r="C24" s="41">
        <f t="shared" ref="C24:D24" si="1">SUM(C6,C7,C9,C11)</f>
        <v>32852.7</v>
      </c>
      <c r="D24" s="41">
        <f t="shared" si="1"/>
        <v>14447.72</v>
      </c>
      <c r="E24" s="45" t="s">
        <v>14</v>
      </c>
      <c r="F24" s="41">
        <f t="shared" ref="F24:G24" si="2">SUM(F6,F7,F9,F11)</f>
        <v>37478.6</v>
      </c>
      <c r="G24" s="41">
        <f t="shared" si="2"/>
        <v>15810.34</v>
      </c>
      <c r="H24" s="45" t="s">
        <v>14</v>
      </c>
      <c r="I24" s="41">
        <f t="shared" ref="I24:J24" si="3">SUM(I6,I7,I9,I11)</f>
        <v>0</v>
      </c>
      <c r="J24" s="41">
        <f t="shared" si="3"/>
        <v>0</v>
      </c>
    </row>
    <row r="26">
      <c r="B26" s="48" t="s">
        <v>15</v>
      </c>
      <c r="C26" s="46">
        <f>C23-'1º Trimestre 2026'!I23</f>
        <v>137.64</v>
      </c>
      <c r="D26" s="47"/>
      <c r="E26" s="48" t="s">
        <v>15</v>
      </c>
      <c r="F26" s="46">
        <f t="shared" ref="F26:F27" si="4">F23-C23</f>
        <v>5988.52</v>
      </c>
      <c r="G26" s="47"/>
      <c r="H26" s="48" t="s">
        <v>15</v>
      </c>
      <c r="I26" s="46">
        <f t="shared" ref="I26:I27" si="5">I23-F23</f>
        <v>-53288.94</v>
      </c>
      <c r="J26" s="47"/>
    </row>
    <row r="27">
      <c r="B27" s="48" t="s">
        <v>16</v>
      </c>
      <c r="C27" s="41">
        <f>C24-'1º Trimestre 2026'!I24</f>
        <v>-87.19</v>
      </c>
      <c r="D27" s="41">
        <f>D24-'1º Trimestre 2026'!J24</f>
        <v>224.83</v>
      </c>
      <c r="E27" s="48" t="s">
        <v>16</v>
      </c>
      <c r="F27" s="41">
        <f t="shared" si="4"/>
        <v>4625.9</v>
      </c>
      <c r="G27" s="41">
        <f>G24-D24</f>
        <v>1362.62</v>
      </c>
      <c r="H27" s="48" t="s">
        <v>16</v>
      </c>
      <c r="I27" s="41">
        <f t="shared" si="5"/>
        <v>-37478.6</v>
      </c>
      <c r="J27" s="41">
        <f>J24-G24</f>
        <v>-15810.34</v>
      </c>
    </row>
    <row r="28">
      <c r="D28" s="51"/>
    </row>
    <row r="29">
      <c r="D29" s="51"/>
    </row>
    <row r="30">
      <c r="B30" s="52" t="s">
        <v>17</v>
      </c>
      <c r="C30" s="46">
        <f>C31+D31</f>
        <v>29657.86</v>
      </c>
      <c r="D30" s="47"/>
      <c r="E30" s="52" t="s">
        <v>17</v>
      </c>
      <c r="F30" s="46">
        <f>F31+G31</f>
        <v>28689.7</v>
      </c>
      <c r="G30" s="47"/>
      <c r="H30" s="52" t="s">
        <v>17</v>
      </c>
      <c r="I30" s="46">
        <f>I31+J31</f>
        <v>0</v>
      </c>
      <c r="J30" s="47"/>
    </row>
    <row r="31">
      <c r="B31" s="52" t="s">
        <v>18</v>
      </c>
      <c r="C31" s="41">
        <f t="shared" ref="C31:D31" si="6">C20-C24</f>
        <v>9796.39</v>
      </c>
      <c r="D31" s="41">
        <f t="shared" si="6"/>
        <v>19861.47</v>
      </c>
      <c r="E31" s="52" t="s">
        <v>18</v>
      </c>
      <c r="F31" s="41">
        <f t="shared" ref="F31:G31" si="7">F20-F24</f>
        <v>11458</v>
      </c>
      <c r="G31" s="41">
        <f t="shared" si="7"/>
        <v>17231.7</v>
      </c>
      <c r="H31" s="52" t="s">
        <v>18</v>
      </c>
      <c r="I31" s="41">
        <f t="shared" ref="I31:J31" si="8">I20-I24</f>
        <v>0</v>
      </c>
      <c r="J31" s="41">
        <f t="shared" si="8"/>
        <v>0</v>
      </c>
    </row>
    <row r="32">
      <c r="D32" s="51"/>
    </row>
    <row r="33">
      <c r="B33" s="53" t="s">
        <v>19</v>
      </c>
    </row>
    <row r="35">
      <c r="B35" s="79" t="s">
        <v>8</v>
      </c>
      <c r="C35" s="67" t="s">
        <v>20</v>
      </c>
      <c r="E35" s="52" t="s">
        <v>22</v>
      </c>
      <c r="F35" s="46">
        <f t="shared" ref="F35:F36" si="9">SUM(I26,F26,C26)</f>
        <v>-47162.78</v>
      </c>
    </row>
    <row r="36">
      <c r="B36" s="80" t="s">
        <v>21</v>
      </c>
      <c r="C36" s="68" t="s">
        <v>30</v>
      </c>
      <c r="E36" s="52" t="s">
        <v>22</v>
      </c>
      <c r="F36" s="41">
        <f t="shared" si="9"/>
        <v>-32939.89</v>
      </c>
      <c r="G36" s="41">
        <f>SUM(J27,G27,D27)</f>
        <v>-14222.89</v>
      </c>
    </row>
    <row r="37">
      <c r="B37" s="81" t="s">
        <v>5</v>
      </c>
      <c r="C37" s="68" t="s">
        <v>31</v>
      </c>
    </row>
    <row r="38">
      <c r="B38" s="82" t="s">
        <v>7</v>
      </c>
      <c r="C38" s="83" t="s">
        <v>32</v>
      </c>
    </row>
  </sheetData>
  <mergeCells count="12">
    <mergeCell ref="F19:G19"/>
    <mergeCell ref="I19:J19"/>
    <mergeCell ref="C21:D21"/>
    <mergeCell ref="F21:G21"/>
    <mergeCell ref="I21:J21"/>
    <mergeCell ref="C4:D4"/>
    <mergeCell ref="F4:G4"/>
    <mergeCell ref="I4:J4"/>
    <mergeCell ref="C8:D8"/>
    <mergeCell ref="F8:G8"/>
    <mergeCell ref="I8:J8"/>
    <mergeCell ref="C19:D1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2024-01-30T09:54:50Z</dcterms:created>
  <dc:creator>Silva, Inês</dc:creator>
</cp:coreProperties>
</file>